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_stancheva\Desktop\Priem_8klas\Vtoro_klasirane\"/>
    </mc:Choice>
  </mc:AlternateContent>
  <bookViews>
    <workbookView xWindow="0" yWindow="0" windowWidth="28140" windowHeight="10845"/>
  </bookViews>
  <sheets>
    <sheet name="Sheet2" sheetId="3" r:id="rId1"/>
    <sheet name="Sheet1" sheetId="2" r:id="rId2"/>
  </sheets>
  <calcPr calcId="162913"/>
</workbook>
</file>

<file path=xl/calcChain.xml><?xml version="1.0" encoding="utf-8"?>
<calcChain xmlns="http://schemas.openxmlformats.org/spreadsheetml/2006/main">
  <c r="I86" i="3" l="1"/>
  <c r="G86" i="3"/>
  <c r="N86" i="3"/>
  <c r="M86" i="3"/>
  <c r="L86" i="3"/>
</calcChain>
</file>

<file path=xl/sharedStrings.xml><?xml version="1.0" encoding="utf-8"?>
<sst xmlns="http://schemas.openxmlformats.org/spreadsheetml/2006/main" count="521" uniqueCount="163">
  <si>
    <t>ИНФОРМАЦИЯ ЗА КЛАСИРАНЕ</t>
  </si>
  <si>
    <t>РУО ХАСКОВО</t>
  </si>
  <si>
    <t>Нас. място</t>
  </si>
  <si>
    <t>Училище</t>
  </si>
  <si>
    <t>Паралелка</t>
  </si>
  <si>
    <t>Брой паралелки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</si>
  <si>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</si>
  <si>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</si>
  <si>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</si>
  <si>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</si>
  <si>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</si>
  <si>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</si>
  <si>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</si>
  <si>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ГР.ДИМИТРОВГРАД</t>
  </si>
  <si>
    <t>Обединено училище "Свети свети Кирил и Методий"</t>
  </si>
  <si>
    <t>Работник в хранително - вкусовата промишленост</t>
  </si>
  <si>
    <t>Математика и информатика</t>
  </si>
  <si>
    <t>Приложен програмист</t>
  </si>
  <si>
    <t>Природни науки - БЗО и ХООС</t>
  </si>
  <si>
    <t>Софтуерни и хардуерни науки -Инф. и ИТ</t>
  </si>
  <si>
    <t>Професионална гимназия "Проф. д-р Асен Златаров"</t>
  </si>
  <si>
    <t>Готвач</t>
  </si>
  <si>
    <t>Електротехник - дуално обучение</t>
  </si>
  <si>
    <t>Консултант козметични, парфюмерийни, биологични продукти и битова химия - дуално обучение</t>
  </si>
  <si>
    <t>АЕ с ИспЕ</t>
  </si>
  <si>
    <t>АЕ с НЕ</t>
  </si>
  <si>
    <t>АЕ с РЕ</t>
  </si>
  <si>
    <t>Средно училище "Любен Каравелов"</t>
  </si>
  <si>
    <t>Предприемачески</t>
  </si>
  <si>
    <t>Софтуерни и хардуерни науки</t>
  </si>
  <si>
    <t>ГР.ИВАЙЛОВГРАД</t>
  </si>
  <si>
    <t>Средно училище "Христо Ботев"</t>
  </si>
  <si>
    <t>Хуманитарни науки</t>
  </si>
  <si>
    <t>ГР.ЛЮБИМЕЦ</t>
  </si>
  <si>
    <t>Средно училище "Желязко Терпешев"</t>
  </si>
  <si>
    <t>Монтьор на транспортна техника</t>
  </si>
  <si>
    <t>Обществени науки</t>
  </si>
  <si>
    <t>ГР.МАДЖАРОВО</t>
  </si>
  <si>
    <t>Средно училище "Димитър Маджаров"</t>
  </si>
  <si>
    <t>ГР.СВИЛЕНГРАД</t>
  </si>
  <si>
    <t>Професионална гимназия по селско стопанство и икономика "Христо Ботев"</t>
  </si>
  <si>
    <t>Данъчен и митнически посредник</t>
  </si>
  <si>
    <t>Икономист- информатик</t>
  </si>
  <si>
    <t>Техник в лозаровинарството</t>
  </si>
  <si>
    <t>Хотелиер</t>
  </si>
  <si>
    <t>Средно училище "Д-р Петър Берон"</t>
  </si>
  <si>
    <t>Икономическо развитие</t>
  </si>
  <si>
    <t>Природни науки</t>
  </si>
  <si>
    <t>ГР.СИМЕОНОВГРАД</t>
  </si>
  <si>
    <t>Средно училище "Свети Климент Охридски"</t>
  </si>
  <si>
    <t>Машинен монтьор</t>
  </si>
  <si>
    <t>ГР.ТОПОЛОВГРАД</t>
  </si>
  <si>
    <t>Машинен оператор</t>
  </si>
  <si>
    <t>ГР.ХАРМАНЛИ</t>
  </si>
  <si>
    <t>Професионална гимназия по електропромишленост и текстил "Захари Стоянов"</t>
  </si>
  <si>
    <t>Електронна търговия</t>
  </si>
  <si>
    <t>Електротехник</t>
  </si>
  <si>
    <t>Техник на електронна техника</t>
  </si>
  <si>
    <t>Средно училище "Неофит Рилски"</t>
  </si>
  <si>
    <t>ГР.ХАСКОВО</t>
  </si>
  <si>
    <t>Езикова гимназия "Проф. д-р Асен Златаров"</t>
  </si>
  <si>
    <t>Английски език и испански език</t>
  </si>
  <si>
    <t>Английски език и немски език</t>
  </si>
  <si>
    <t>Английски език и руски език</t>
  </si>
  <si>
    <t>Биология и химия с английски език</t>
  </si>
  <si>
    <t>Испански език и английски език</t>
  </si>
  <si>
    <t>Немски език и английски език</t>
  </si>
  <si>
    <t>Природо-математическа гимназия "Академик Боян Петканчин"</t>
  </si>
  <si>
    <t>Биология и химия</t>
  </si>
  <si>
    <t>Информатика и информационнни технологии</t>
  </si>
  <si>
    <t>Информатика и матиматика</t>
  </si>
  <si>
    <t>Информационни технологии и информатика</t>
  </si>
  <si>
    <t>Професионална гимназия по дървообработване и строителство "Цар Иван Асен "</t>
  </si>
  <si>
    <t>Геодезия</t>
  </si>
  <si>
    <t>Горско и ловно стопанство</t>
  </si>
  <si>
    <t>Графичен дизайн</t>
  </si>
  <si>
    <t>Интериорен дизайн</t>
  </si>
  <si>
    <t>Мебелно производство</t>
  </si>
  <si>
    <t>Системно програмиране</t>
  </si>
  <si>
    <t>Строителство и архитектура</t>
  </si>
  <si>
    <t>Професионална гимназия по лека промишленост "Райна Княгиня"</t>
  </si>
  <si>
    <t>Моделиер - технолог на облекло</t>
  </si>
  <si>
    <t>Оператор в производството на облекло</t>
  </si>
  <si>
    <t>Фризьор</t>
  </si>
  <si>
    <t>Професионална гимназия по механоелектротехника "Стойчо и Кица Марчеви"</t>
  </si>
  <si>
    <t>Електрически машини и апарати</t>
  </si>
  <si>
    <t>Електрообзавеждане на производството - дуално</t>
  </si>
  <si>
    <t>Компютърна техника и технологии</t>
  </si>
  <si>
    <t>Приложно програмиране</t>
  </si>
  <si>
    <t>Топлотехника- топлинна, климатична, вентилационна и хладилна</t>
  </si>
  <si>
    <t>Професионална гимназия по транспорт и аграрни технологии "Н.Й.Вапцаров"</t>
  </si>
  <si>
    <t>Автотранспортна техника</t>
  </si>
  <si>
    <t>Електрически превозни средства</t>
  </si>
  <si>
    <t>Трайни насаждения</t>
  </si>
  <si>
    <t>Професионална гимназия по туризъм "Александър Паскалев"</t>
  </si>
  <si>
    <t>Кетъринг</t>
  </si>
  <si>
    <t>Рекламна графика</t>
  </si>
  <si>
    <t>Съдебна администрация</t>
  </si>
  <si>
    <t>Техник-технолог в хранително-вкусовата промишленост</t>
  </si>
  <si>
    <t>Средно училище " Васил Левски"</t>
  </si>
  <si>
    <t>Средно училище "Св.Паисий Хилендарски"</t>
  </si>
  <si>
    <t>Финансово-стопанска гимназия "Атанас Буров"</t>
  </si>
  <si>
    <t>Банково дело</t>
  </si>
  <si>
    <t>Икономика и мениджмънт</t>
  </si>
  <si>
    <t>Икономист-информатик</t>
  </si>
  <si>
    <t>Организатор Интернет приложения</t>
  </si>
  <si>
    <t>С.КАРАМАНЦИ</t>
  </si>
  <si>
    <t>С.МИНЕРАЛНИ БАНИ</t>
  </si>
  <si>
    <t>Изпълнител на термални процедури</t>
  </si>
  <si>
    <t>С.СТАМБОЛОВО</t>
  </si>
  <si>
    <t>Средно училище " Свети Климент Охридски "</t>
  </si>
  <si>
    <t>Природо-математическа гимназия "Иван Вазов"</t>
  </si>
  <si>
    <t>Профилирана езикова гимназияЯ "Д-р Иван Богоров"</t>
  </si>
  <si>
    <t>Средно училище "Проф. д-р Асен Златаров"</t>
  </si>
  <si>
    <t>към 18.7.2024</t>
  </si>
  <si>
    <t>ОбУ "Св. Св. Кирил и Методий"</t>
  </si>
  <si>
    <t>ПМГ "Иван Вазов"</t>
  </si>
  <si>
    <t>ПГ "Проф. д-р Асен Златаров"</t>
  </si>
  <si>
    <t>ПЕГ "Д-р Иван Богоров"</t>
  </si>
  <si>
    <t>СУ "Любен Каравелов"</t>
  </si>
  <si>
    <t>СУ "Христо Ботев"</t>
  </si>
  <si>
    <t>СУ "Желязко Терпешев"</t>
  </si>
  <si>
    <t>СУ "Димитър Маджаров"</t>
  </si>
  <si>
    <t>ПГССИ "Христо Ботев"</t>
  </si>
  <si>
    <t>СУ "Д-р Петър Берон"</t>
  </si>
  <si>
    <t>СУ "Свети Климент Охридски"</t>
  </si>
  <si>
    <t>ПГЕТ "Захари Стоянов"</t>
  </si>
  <si>
    <t>СУ "Неофит Рилски"</t>
  </si>
  <si>
    <t>ЕГ "Проф. д-р Асен Златаров"</t>
  </si>
  <si>
    <t>ПМГ "Академик Боян Петканчин"</t>
  </si>
  <si>
    <t>ПГДС "Цар Иван Асен"</t>
  </si>
  <si>
    <t>ПГЛП "Райна Княгиня"</t>
  </si>
  <si>
    <t>ПГМЕТ "Стойчо и Кица Марчеви"</t>
  </si>
  <si>
    <t>ПГТАТ "Н.Й.Вапцаров"</t>
  </si>
  <si>
    <t>ПГТ "Александър Паскалев"</t>
  </si>
  <si>
    <t>СУ " Васил Левски"</t>
  </si>
  <si>
    <t>СУ "Св.Паисий Хилендарски"</t>
  </si>
  <si>
    <t>ФСГ "Атанас Буров"</t>
  </si>
  <si>
    <t>СУ "Проф. д-р Асен Златаров"</t>
  </si>
  <si>
    <t>СУ " Св. Климент Охридски"</t>
  </si>
  <si>
    <r>
      <t xml:space="preserve">Брой </t>
    </r>
    <r>
      <rPr>
        <b/>
        <sz val="11"/>
        <color rgb="FF000000"/>
        <rFont val="Times New Roman"/>
        <family val="1"/>
        <charset val="204"/>
      </rPr>
      <t>класирани</t>
    </r>
    <r>
      <rPr>
        <sz val="11"/>
        <color rgb="FF000000"/>
        <rFont val="Times New Roman"/>
        <family val="1"/>
        <charset val="204"/>
      </rPr>
      <t xml:space="preserve"> на първи етап</t>
    </r>
  </si>
  <si>
    <r>
      <t xml:space="preserve">Брой </t>
    </r>
    <r>
      <rPr>
        <b/>
        <sz val="11"/>
        <color rgb="FF000000"/>
        <rFont val="Times New Roman"/>
        <family val="1"/>
        <charset val="204"/>
      </rPr>
      <t>записани</t>
    </r>
    <r>
      <rPr>
        <sz val="11"/>
        <color rgb="FF000000"/>
        <rFont val="Times New Roman"/>
        <family val="1"/>
        <charset val="204"/>
      </rPr>
      <t xml:space="preserve"> ученици със СОП/ХЗ</t>
    </r>
  </si>
  <si>
    <r>
      <t xml:space="preserve">Брой </t>
    </r>
    <r>
      <rPr>
        <b/>
        <sz val="11"/>
        <color rgb="FF000000"/>
        <rFont val="Times New Roman"/>
        <family val="1"/>
        <charset val="204"/>
      </rPr>
      <t>записани</t>
    </r>
    <r>
      <rPr>
        <sz val="11"/>
        <color rgb="FF000000"/>
        <rFont val="Times New Roman"/>
        <family val="1"/>
        <charset val="204"/>
      </rPr>
      <t xml:space="preserve"> на първи етап</t>
    </r>
  </si>
  <si>
    <t>Резултати от първи етап</t>
  </si>
  <si>
    <t>гр. Димитровград</t>
  </si>
  <si>
    <t>гр. Ивайловград</t>
  </si>
  <si>
    <t>гр. Любимец</t>
  </si>
  <si>
    <t>гр. Маджарово</t>
  </si>
  <si>
    <t>гр. Свиленград</t>
  </si>
  <si>
    <t>гр. Симеоновград</t>
  </si>
  <si>
    <t>гр. Харманли</t>
  </si>
  <si>
    <t>гр. Хасково</t>
  </si>
  <si>
    <t>с. Караманци</t>
  </si>
  <si>
    <t>с. Минерални бани</t>
  </si>
  <si>
    <t>с. Стамболово</t>
  </si>
  <si>
    <t>гр. Тополовград</t>
  </si>
  <si>
    <t>Мин. брой</t>
  </si>
  <si>
    <t>Информатика и математика</t>
  </si>
  <si>
    <t xml:space="preserve">СПРАВКА  КЛАСИРАНИ ЗА ВТОРИ ЕТАП </t>
  </si>
  <si>
    <t>Класирани за ВТОРИ етап</t>
  </si>
  <si>
    <t>Максимален брой в паралелка</t>
  </si>
  <si>
    <t xml:space="preserve">Свободни места </t>
  </si>
  <si>
    <t>Първи етап 11.07.2024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</si>
</sst>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Calibri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right"/>
    </xf>
    <xf numFmtId="0" fontId="2" fillId="0" borderId="0" xfId="0" applyFont="1" applyFill="1"/>
    <xf numFmtId="0" fontId="2" fillId="2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0" borderId="0" xfId="0" applyFont="1" applyAlignment="1"/>
    <xf numFmtId="0" fontId="1" fillId="0" borderId="1" xfId="0" applyFont="1" applyBorder="1" applyAlignment="1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2" fillId="0" borderId="1" xfId="0" applyFont="1" applyBorder="1" applyAlignment="1"/>
    <xf numFmtId="0" fontId="2" fillId="0" borderId="1" xfId="0" applyFont="1" applyFill="1" applyBorder="1" applyAlignment="1"/>
    <xf numFmtId="0" fontId="2" fillId="0" borderId="0" xfId="0" applyFont="1" applyFill="1" applyAlignment="1"/>
    <xf numFmtId="0" fontId="2" fillId="2" borderId="0" xfId="0" applyFont="1" applyFill="1" applyAlignment="1"/>
    <xf numFmtId="0" fontId="2" fillId="3" borderId="0" xfId="0" applyFont="1" applyFill="1" applyAlignment="1"/>
    <xf numFmtId="0" fontId="0" fillId="0" borderId="0" xfId="0" applyAlignment="1"/>
    <xf numFmtId="0" fontId="2" fillId="0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/>
    <xf numFmtId="0" fontId="2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/>
    <xf numFmtId="14" fontId="1" fillId="0" borderId="0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8" xfId="0" applyFont="1" applyBorder="1"/>
    <xf numFmtId="0" fontId="2" fillId="0" borderId="8" xfId="0" applyFont="1" applyFill="1" applyBorder="1"/>
    <xf numFmtId="0" fontId="2" fillId="0" borderId="7" xfId="0" applyFont="1" applyBorder="1"/>
    <xf numFmtId="0" fontId="4" fillId="0" borderId="5" xfId="0" applyFont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2"/>
  <sheetViews>
    <sheetView tabSelected="1" topLeftCell="A67" workbookViewId="0">
      <selection activeCell="H89" sqref="H89"/>
    </sheetView>
  </sheetViews>
  <sheetFormatPr defaultColWidth="9.140625" defaultRowHeight="15" x14ac:dyDescent="0.25"/>
  <cols>
    <col min="1" max="1" width="4" style="1" customWidth="1"/>
    <col min="2" max="2" width="17.7109375" style="1" customWidth="1"/>
    <col min="3" max="3" width="9" style="1" bestFit="1" customWidth="1"/>
    <col min="4" max="4" width="32" style="1" customWidth="1"/>
    <col min="5" max="5" width="5.7109375" style="1" customWidth="1"/>
    <col min="6" max="6" width="31.5703125" style="1" customWidth="1"/>
    <col min="7" max="7" width="6.140625" style="22" customWidth="1"/>
    <col min="8" max="9" width="8" style="22" customWidth="1"/>
    <col min="10" max="10" width="7.7109375" style="22" customWidth="1"/>
    <col min="11" max="11" width="7.85546875" style="22" customWidth="1"/>
    <col min="12" max="12" width="7.42578125" style="33" customWidth="1"/>
    <col min="13" max="16" width="8.85546875" style="22" customWidth="1"/>
    <col min="17" max="693" width="8.85546875" style="1" customWidth="1"/>
    <col min="694" max="16384" width="9.140625" style="1"/>
  </cols>
  <sheetData>
    <row r="1" spans="1:16" x14ac:dyDescent="0.25">
      <c r="A1" s="25" t="s">
        <v>158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3" spans="1:16" ht="15.75" thickBot="1" x14ac:dyDescent="0.3">
      <c r="A3" s="28" t="s">
        <v>114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</row>
    <row r="4" spans="1:16" ht="60.75" customHeight="1" x14ac:dyDescent="0.25">
      <c r="A4" s="40"/>
      <c r="B4" s="26" t="s">
        <v>2</v>
      </c>
      <c r="C4" s="26" t="s">
        <v>3</v>
      </c>
      <c r="D4" s="26"/>
      <c r="E4" s="26" t="s">
        <v>4</v>
      </c>
      <c r="F4" s="26"/>
      <c r="G4" s="29" t="s">
        <v>5</v>
      </c>
      <c r="H4" s="29" t="s">
        <v>156</v>
      </c>
      <c r="I4" s="29" t="s">
        <v>141</v>
      </c>
      <c r="J4" s="29" t="s">
        <v>160</v>
      </c>
      <c r="K4" s="41" t="s">
        <v>143</v>
      </c>
      <c r="L4" s="42"/>
      <c r="M4" s="43" t="s">
        <v>159</v>
      </c>
      <c r="N4" s="43"/>
      <c r="O4" s="43"/>
      <c r="P4" s="44"/>
    </row>
    <row r="5" spans="1:16" ht="120" customHeight="1" x14ac:dyDescent="0.25">
      <c r="A5" s="45"/>
      <c r="B5" s="35"/>
      <c r="C5" s="36" t="s">
        <v>8</v>
      </c>
      <c r="D5" s="36" t="s">
        <v>9</v>
      </c>
      <c r="E5" s="36" t="s">
        <v>8</v>
      </c>
      <c r="F5" s="36" t="s">
        <v>9</v>
      </c>
      <c r="G5" s="30"/>
      <c r="H5" s="30"/>
      <c r="I5" s="30"/>
      <c r="J5" s="30"/>
      <c r="K5" s="37" t="s">
        <v>140</v>
      </c>
      <c r="L5" s="38" t="s">
        <v>142</v>
      </c>
      <c r="M5" s="31" t="s">
        <v>159</v>
      </c>
      <c r="N5" s="37" t="s">
        <v>161</v>
      </c>
      <c r="O5" s="37" t="s">
        <v>6</v>
      </c>
      <c r="P5" s="46" t="s">
        <v>7</v>
      </c>
    </row>
    <row r="6" spans="1:16" x14ac:dyDescent="0.25">
      <c r="A6" s="47">
        <v>1</v>
      </c>
      <c r="B6" s="2" t="s">
        <v>144</v>
      </c>
      <c r="C6" s="2">
        <v>2602003</v>
      </c>
      <c r="D6" s="2" t="s">
        <v>115</v>
      </c>
      <c r="E6" s="3">
        <v>3338</v>
      </c>
      <c r="F6" s="2" t="s">
        <v>15</v>
      </c>
      <c r="G6" s="20">
        <v>1</v>
      </c>
      <c r="H6" s="20">
        <v>18</v>
      </c>
      <c r="I6" s="34"/>
      <c r="J6" s="20">
        <v>26</v>
      </c>
      <c r="K6" s="20">
        <v>26</v>
      </c>
      <c r="L6" s="39">
        <v>26</v>
      </c>
      <c r="M6" s="32"/>
      <c r="N6" s="20"/>
      <c r="O6" s="20"/>
      <c r="P6" s="24"/>
    </row>
    <row r="7" spans="1:16" s="6" customFormat="1" x14ac:dyDescent="0.25">
      <c r="A7" s="48">
        <v>2</v>
      </c>
      <c r="B7" s="2" t="s">
        <v>144</v>
      </c>
      <c r="C7" s="4">
        <v>2602020</v>
      </c>
      <c r="D7" s="4" t="s">
        <v>118</v>
      </c>
      <c r="E7" s="5">
        <v>1634</v>
      </c>
      <c r="F7" s="4" t="s">
        <v>24</v>
      </c>
      <c r="G7" s="21">
        <v>1</v>
      </c>
      <c r="H7" s="20">
        <v>18</v>
      </c>
      <c r="I7" s="34"/>
      <c r="J7" s="21">
        <v>26</v>
      </c>
      <c r="K7" s="21">
        <v>26</v>
      </c>
      <c r="L7" s="39">
        <v>26</v>
      </c>
      <c r="M7" s="32"/>
      <c r="N7" s="20"/>
      <c r="O7" s="20"/>
      <c r="P7" s="24"/>
    </row>
    <row r="8" spans="1:16" s="6" customFormat="1" x14ac:dyDescent="0.25">
      <c r="A8" s="48"/>
      <c r="B8" s="2" t="s">
        <v>144</v>
      </c>
      <c r="C8" s="4">
        <v>2602020</v>
      </c>
      <c r="D8" s="4" t="s">
        <v>118</v>
      </c>
      <c r="E8" s="5">
        <v>1640</v>
      </c>
      <c r="F8" s="4" t="s">
        <v>25</v>
      </c>
      <c r="G8" s="21">
        <v>1</v>
      </c>
      <c r="H8" s="20">
        <v>18</v>
      </c>
      <c r="I8" s="34"/>
      <c r="J8" s="21">
        <v>26</v>
      </c>
      <c r="K8" s="21">
        <v>26</v>
      </c>
      <c r="L8" s="39">
        <v>18</v>
      </c>
      <c r="M8" s="32">
        <v>8</v>
      </c>
      <c r="N8" s="20"/>
      <c r="O8" s="20">
        <v>227.75</v>
      </c>
      <c r="P8" s="24">
        <v>318.25</v>
      </c>
    </row>
    <row r="9" spans="1:16" s="6" customFormat="1" x14ac:dyDescent="0.25">
      <c r="A9" s="48"/>
      <c r="B9" s="2" t="s">
        <v>144</v>
      </c>
      <c r="C9" s="4">
        <v>2602020</v>
      </c>
      <c r="D9" s="4" t="s">
        <v>118</v>
      </c>
      <c r="E9" s="5">
        <v>1655</v>
      </c>
      <c r="F9" s="4" t="s">
        <v>26</v>
      </c>
      <c r="G9" s="21">
        <v>1</v>
      </c>
      <c r="H9" s="20">
        <v>18</v>
      </c>
      <c r="I9" s="34"/>
      <c r="J9" s="21">
        <v>26</v>
      </c>
      <c r="K9" s="21">
        <v>26</v>
      </c>
      <c r="L9" s="39">
        <v>23</v>
      </c>
      <c r="M9" s="32">
        <v>3</v>
      </c>
      <c r="N9" s="20"/>
      <c r="O9" s="20">
        <v>222.75</v>
      </c>
      <c r="P9" s="24">
        <v>282.25</v>
      </c>
    </row>
    <row r="10" spans="1:16" x14ac:dyDescent="0.25">
      <c r="A10" s="47">
        <v>3</v>
      </c>
      <c r="B10" s="2" t="s">
        <v>144</v>
      </c>
      <c r="C10" s="2">
        <v>2602019</v>
      </c>
      <c r="D10" s="2" t="s">
        <v>116</v>
      </c>
      <c r="E10" s="3">
        <v>1759</v>
      </c>
      <c r="F10" s="2" t="s">
        <v>16</v>
      </c>
      <c r="G10" s="20">
        <v>1</v>
      </c>
      <c r="H10" s="20">
        <v>18</v>
      </c>
      <c r="I10" s="34"/>
      <c r="J10" s="20">
        <v>26</v>
      </c>
      <c r="K10" s="20">
        <v>26</v>
      </c>
      <c r="L10" s="39">
        <v>22</v>
      </c>
      <c r="M10" s="32">
        <v>4</v>
      </c>
      <c r="N10" s="20"/>
      <c r="O10" s="20">
        <v>130.5</v>
      </c>
      <c r="P10" s="24">
        <v>166.5</v>
      </c>
    </row>
    <row r="11" spans="1:16" x14ac:dyDescent="0.25">
      <c r="A11" s="47"/>
      <c r="B11" s="2" t="s">
        <v>144</v>
      </c>
      <c r="C11" s="2">
        <v>2602019</v>
      </c>
      <c r="D11" s="2" t="s">
        <v>116</v>
      </c>
      <c r="E11" s="3">
        <v>1761</v>
      </c>
      <c r="F11" s="2" t="s">
        <v>18</v>
      </c>
      <c r="G11" s="20">
        <v>1</v>
      </c>
      <c r="H11" s="20">
        <v>18</v>
      </c>
      <c r="I11" s="34"/>
      <c r="J11" s="20">
        <v>26</v>
      </c>
      <c r="K11" s="20">
        <v>26</v>
      </c>
      <c r="L11" s="39">
        <v>19</v>
      </c>
      <c r="M11" s="32">
        <v>7</v>
      </c>
      <c r="N11" s="20"/>
      <c r="O11" s="20">
        <v>161.5</v>
      </c>
      <c r="P11" s="24">
        <v>239</v>
      </c>
    </row>
    <row r="12" spans="1:16" x14ac:dyDescent="0.25">
      <c r="A12" s="47"/>
      <c r="B12" s="2" t="s">
        <v>144</v>
      </c>
      <c r="C12" s="2">
        <v>2602019</v>
      </c>
      <c r="D12" s="2" t="s">
        <v>116</v>
      </c>
      <c r="E12" s="3">
        <v>1766</v>
      </c>
      <c r="F12" s="2" t="s">
        <v>19</v>
      </c>
      <c r="G12" s="20">
        <v>1</v>
      </c>
      <c r="H12" s="20">
        <v>18</v>
      </c>
      <c r="I12" s="34"/>
      <c r="J12" s="20">
        <v>26</v>
      </c>
      <c r="K12" s="20">
        <v>26</v>
      </c>
      <c r="L12" s="39">
        <v>26</v>
      </c>
      <c r="M12" s="32"/>
      <c r="N12" s="20"/>
      <c r="O12" s="20">
        <v>0</v>
      </c>
      <c r="P12" s="24">
        <v>0</v>
      </c>
    </row>
    <row r="13" spans="1:16" x14ac:dyDescent="0.25">
      <c r="A13" s="47"/>
      <c r="B13" s="2" t="s">
        <v>144</v>
      </c>
      <c r="C13" s="2">
        <v>2602019</v>
      </c>
      <c r="D13" s="2" t="s">
        <v>116</v>
      </c>
      <c r="E13" s="3">
        <v>1779</v>
      </c>
      <c r="F13" s="3" t="s">
        <v>17</v>
      </c>
      <c r="G13" s="20">
        <v>1</v>
      </c>
      <c r="H13" s="20">
        <v>18</v>
      </c>
      <c r="I13" s="34"/>
      <c r="J13" s="20">
        <v>26</v>
      </c>
      <c r="K13" s="20">
        <v>26</v>
      </c>
      <c r="L13" s="39">
        <v>24</v>
      </c>
      <c r="M13" s="32">
        <v>2</v>
      </c>
      <c r="N13" s="20"/>
      <c r="O13" s="20">
        <v>223.5</v>
      </c>
      <c r="P13" s="24">
        <v>239</v>
      </c>
    </row>
    <row r="14" spans="1:16" s="6" customFormat="1" x14ac:dyDescent="0.25">
      <c r="A14" s="48">
        <v>4</v>
      </c>
      <c r="B14" s="2" t="s">
        <v>144</v>
      </c>
      <c r="C14" s="4">
        <v>2602018</v>
      </c>
      <c r="D14" s="4" t="s">
        <v>119</v>
      </c>
      <c r="E14" s="5">
        <v>2463</v>
      </c>
      <c r="F14" s="4" t="s">
        <v>29</v>
      </c>
      <c r="G14" s="21">
        <v>1</v>
      </c>
      <c r="H14" s="20">
        <v>18</v>
      </c>
      <c r="I14" s="34"/>
      <c r="J14" s="21">
        <v>26</v>
      </c>
      <c r="K14" s="21">
        <v>26</v>
      </c>
      <c r="L14" s="39">
        <v>19</v>
      </c>
      <c r="M14" s="32">
        <v>7</v>
      </c>
      <c r="N14" s="20"/>
      <c r="O14" s="20">
        <v>137</v>
      </c>
      <c r="P14" s="24">
        <v>273.5</v>
      </c>
    </row>
    <row r="15" spans="1:16" s="6" customFormat="1" x14ac:dyDescent="0.25">
      <c r="A15" s="48"/>
      <c r="B15" s="2" t="s">
        <v>144</v>
      </c>
      <c r="C15" s="4">
        <v>2602019</v>
      </c>
      <c r="D15" s="4" t="s">
        <v>119</v>
      </c>
      <c r="E15" s="5">
        <v>3393</v>
      </c>
      <c r="F15" s="4" t="s">
        <v>28</v>
      </c>
      <c r="G15" s="21">
        <v>1</v>
      </c>
      <c r="H15" s="20">
        <v>16</v>
      </c>
      <c r="I15" s="34">
        <v>2</v>
      </c>
      <c r="J15" s="21">
        <v>24</v>
      </c>
      <c r="K15" s="21">
        <v>24</v>
      </c>
      <c r="L15" s="39">
        <v>20</v>
      </c>
      <c r="M15" s="32">
        <v>4</v>
      </c>
      <c r="N15" s="20"/>
      <c r="O15" s="20">
        <v>159.5</v>
      </c>
      <c r="P15" s="24">
        <v>235.5</v>
      </c>
    </row>
    <row r="16" spans="1:16" s="6" customFormat="1" x14ac:dyDescent="0.25">
      <c r="A16" s="48">
        <v>5</v>
      </c>
      <c r="B16" s="2" t="s">
        <v>144</v>
      </c>
      <c r="C16" s="4">
        <v>2602023</v>
      </c>
      <c r="D16" s="2" t="s">
        <v>117</v>
      </c>
      <c r="E16" s="5">
        <v>2355</v>
      </c>
      <c r="F16" s="4" t="s">
        <v>22</v>
      </c>
      <c r="G16" s="21">
        <v>1</v>
      </c>
      <c r="H16" s="20">
        <v>18</v>
      </c>
      <c r="I16" s="34"/>
      <c r="J16" s="21">
        <v>26</v>
      </c>
      <c r="K16" s="21">
        <v>11</v>
      </c>
      <c r="L16" s="39">
        <v>10</v>
      </c>
      <c r="M16" s="32"/>
      <c r="N16" s="20">
        <v>16</v>
      </c>
      <c r="O16" s="20">
        <v>0</v>
      </c>
      <c r="P16" s="24">
        <v>0</v>
      </c>
    </row>
    <row r="17" spans="1:16" s="6" customFormat="1" ht="60" x14ac:dyDescent="0.25">
      <c r="A17" s="48"/>
      <c r="B17" s="2" t="s">
        <v>144</v>
      </c>
      <c r="C17" s="4">
        <v>2602023</v>
      </c>
      <c r="D17" s="2" t="s">
        <v>117</v>
      </c>
      <c r="E17" s="5">
        <v>3929</v>
      </c>
      <c r="F17" s="19" t="s">
        <v>23</v>
      </c>
      <c r="G17" s="21">
        <v>1</v>
      </c>
      <c r="H17" s="20">
        <v>12</v>
      </c>
      <c r="I17" s="34"/>
      <c r="J17" s="21">
        <v>26</v>
      </c>
      <c r="K17" s="21">
        <v>8</v>
      </c>
      <c r="L17" s="39">
        <v>6</v>
      </c>
      <c r="M17" s="32">
        <v>2</v>
      </c>
      <c r="N17" s="20">
        <v>18</v>
      </c>
      <c r="O17" s="20">
        <v>102</v>
      </c>
      <c r="P17" s="24">
        <v>132</v>
      </c>
    </row>
    <row r="18" spans="1:16" x14ac:dyDescent="0.25">
      <c r="A18" s="47"/>
      <c r="B18" s="2" t="s">
        <v>144</v>
      </c>
      <c r="C18" s="2">
        <v>2602023</v>
      </c>
      <c r="D18" s="2" t="s">
        <v>117</v>
      </c>
      <c r="E18" s="3">
        <v>2374</v>
      </c>
      <c r="F18" s="2" t="s">
        <v>21</v>
      </c>
      <c r="G18" s="20">
        <v>1</v>
      </c>
      <c r="H18" s="20">
        <v>12</v>
      </c>
      <c r="I18" s="34"/>
      <c r="J18" s="20">
        <v>26</v>
      </c>
      <c r="K18" s="20">
        <v>23</v>
      </c>
      <c r="L18" s="39">
        <v>21</v>
      </c>
      <c r="M18" s="32">
        <v>2</v>
      </c>
      <c r="N18" s="20">
        <v>3</v>
      </c>
      <c r="O18" s="20"/>
      <c r="P18" s="24"/>
    </row>
    <row r="19" spans="1:16" s="6" customFormat="1" x14ac:dyDescent="0.25">
      <c r="A19" s="48">
        <v>6</v>
      </c>
      <c r="B19" s="4" t="s">
        <v>145</v>
      </c>
      <c r="C19" s="4">
        <v>2610005</v>
      </c>
      <c r="D19" s="4" t="s">
        <v>120</v>
      </c>
      <c r="E19" s="5">
        <v>1589</v>
      </c>
      <c r="F19" s="4" t="s">
        <v>32</v>
      </c>
      <c r="G19" s="21">
        <v>1</v>
      </c>
      <c r="H19" s="20">
        <v>18</v>
      </c>
      <c r="I19" s="34"/>
      <c r="J19" s="21">
        <v>26</v>
      </c>
      <c r="K19" s="21">
        <v>23</v>
      </c>
      <c r="L19" s="39">
        <v>22</v>
      </c>
      <c r="M19" s="32"/>
      <c r="N19" s="20">
        <v>4</v>
      </c>
      <c r="O19" s="20">
        <v>0</v>
      </c>
      <c r="P19" s="24">
        <v>0</v>
      </c>
    </row>
    <row r="20" spans="1:16" s="6" customFormat="1" x14ac:dyDescent="0.25">
      <c r="A20" s="48">
        <v>7</v>
      </c>
      <c r="B20" s="4" t="s">
        <v>146</v>
      </c>
      <c r="C20" s="4">
        <v>2606005</v>
      </c>
      <c r="D20" s="4" t="s">
        <v>121</v>
      </c>
      <c r="E20" s="5">
        <v>2406</v>
      </c>
      <c r="F20" s="4" t="s">
        <v>36</v>
      </c>
      <c r="G20" s="21">
        <v>1</v>
      </c>
      <c r="H20" s="20">
        <v>17</v>
      </c>
      <c r="I20" s="34">
        <v>1</v>
      </c>
      <c r="J20" s="21">
        <v>25</v>
      </c>
      <c r="K20" s="21">
        <v>24</v>
      </c>
      <c r="L20" s="39">
        <v>17</v>
      </c>
      <c r="M20" s="32"/>
      <c r="N20" s="20">
        <v>8</v>
      </c>
      <c r="O20" s="20">
        <v>0</v>
      </c>
      <c r="P20" s="24">
        <v>0</v>
      </c>
    </row>
    <row r="21" spans="1:16" s="6" customFormat="1" x14ac:dyDescent="0.25">
      <c r="A21" s="48"/>
      <c r="B21" s="4" t="s">
        <v>146</v>
      </c>
      <c r="C21" s="4">
        <v>2606005</v>
      </c>
      <c r="D21" s="4" t="s">
        <v>121</v>
      </c>
      <c r="E21" s="5">
        <v>2412</v>
      </c>
      <c r="F21" s="4" t="s">
        <v>35</v>
      </c>
      <c r="G21" s="21">
        <v>0.5</v>
      </c>
      <c r="H21" s="20">
        <v>9</v>
      </c>
      <c r="I21" s="34"/>
      <c r="J21" s="21">
        <v>13</v>
      </c>
      <c r="K21" s="21">
        <v>13</v>
      </c>
      <c r="L21" s="39">
        <v>12</v>
      </c>
      <c r="M21" s="32">
        <v>1</v>
      </c>
      <c r="N21" s="20"/>
      <c r="O21" s="20">
        <v>66</v>
      </c>
      <c r="P21" s="24">
        <v>66</v>
      </c>
    </row>
    <row r="22" spans="1:16" s="6" customFormat="1" x14ac:dyDescent="0.25">
      <c r="A22" s="48"/>
      <c r="B22" s="4" t="s">
        <v>146</v>
      </c>
      <c r="C22" s="4">
        <v>2606005</v>
      </c>
      <c r="D22" s="4" t="s">
        <v>121</v>
      </c>
      <c r="E22" s="5">
        <v>4005</v>
      </c>
      <c r="F22" s="4" t="s">
        <v>21</v>
      </c>
      <c r="G22" s="21">
        <v>0.5</v>
      </c>
      <c r="H22" s="20">
        <v>9</v>
      </c>
      <c r="I22" s="34"/>
      <c r="J22" s="21">
        <v>13</v>
      </c>
      <c r="K22" s="21">
        <v>13</v>
      </c>
      <c r="L22" s="39">
        <v>13</v>
      </c>
      <c r="M22" s="32"/>
      <c r="N22" s="20"/>
      <c r="O22" s="20"/>
      <c r="P22" s="24"/>
    </row>
    <row r="23" spans="1:16" s="6" customFormat="1" x14ac:dyDescent="0.25">
      <c r="A23" s="48">
        <v>8</v>
      </c>
      <c r="B23" s="4" t="s">
        <v>147</v>
      </c>
      <c r="C23" s="4">
        <v>2608001</v>
      </c>
      <c r="D23" s="4" t="s">
        <v>122</v>
      </c>
      <c r="E23" s="5">
        <v>1871</v>
      </c>
      <c r="F23" s="4" t="s">
        <v>35</v>
      </c>
      <c r="G23" s="21">
        <v>1</v>
      </c>
      <c r="H23" s="20">
        <v>12</v>
      </c>
      <c r="I23" s="34"/>
      <c r="J23" s="21">
        <v>26</v>
      </c>
      <c r="K23" s="21">
        <v>17</v>
      </c>
      <c r="L23" s="39">
        <v>16</v>
      </c>
      <c r="M23" s="32"/>
      <c r="N23" s="20">
        <v>10</v>
      </c>
      <c r="O23" s="20">
        <v>0</v>
      </c>
      <c r="P23" s="24">
        <v>0</v>
      </c>
    </row>
    <row r="24" spans="1:16" s="6" customFormat="1" ht="30" x14ac:dyDescent="0.25">
      <c r="A24" s="48">
        <v>9</v>
      </c>
      <c r="B24" s="19" t="s">
        <v>153</v>
      </c>
      <c r="C24" s="4">
        <v>2607001</v>
      </c>
      <c r="D24" s="4" t="s">
        <v>138</v>
      </c>
      <c r="E24" s="5">
        <v>1398</v>
      </c>
      <c r="F24" s="4" t="s">
        <v>108</v>
      </c>
      <c r="G24" s="21">
        <v>1</v>
      </c>
      <c r="H24" s="20">
        <v>17</v>
      </c>
      <c r="I24" s="34">
        <v>1</v>
      </c>
      <c r="J24" s="21">
        <v>25</v>
      </c>
      <c r="K24" s="21">
        <v>13</v>
      </c>
      <c r="L24" s="39">
        <v>11</v>
      </c>
      <c r="M24" s="32">
        <v>2</v>
      </c>
      <c r="N24" s="20">
        <v>12</v>
      </c>
      <c r="O24" s="20">
        <v>126</v>
      </c>
      <c r="P24" s="24">
        <v>230.5</v>
      </c>
    </row>
    <row r="25" spans="1:16" s="6" customFormat="1" x14ac:dyDescent="0.25">
      <c r="A25" s="48">
        <v>10</v>
      </c>
      <c r="B25" s="4" t="s">
        <v>152</v>
      </c>
      <c r="C25" s="4">
        <v>2607002</v>
      </c>
      <c r="D25" s="4" t="s">
        <v>120</v>
      </c>
      <c r="E25" s="5">
        <v>2573</v>
      </c>
      <c r="F25" s="4" t="s">
        <v>44</v>
      </c>
      <c r="G25" s="21">
        <v>1</v>
      </c>
      <c r="H25" s="20">
        <v>18</v>
      </c>
      <c r="I25" s="34"/>
      <c r="J25" s="21">
        <v>26</v>
      </c>
      <c r="K25" s="21">
        <v>16</v>
      </c>
      <c r="L25" s="39">
        <v>15</v>
      </c>
      <c r="M25" s="32">
        <v>1</v>
      </c>
      <c r="N25" s="20">
        <v>10</v>
      </c>
      <c r="O25" s="20">
        <v>154</v>
      </c>
      <c r="P25" s="24">
        <v>154</v>
      </c>
    </row>
    <row r="26" spans="1:16" s="6" customFormat="1" x14ac:dyDescent="0.25">
      <c r="A26" s="48">
        <v>11</v>
      </c>
      <c r="B26" s="4" t="s">
        <v>148</v>
      </c>
      <c r="C26" s="4">
        <v>2605016</v>
      </c>
      <c r="D26" s="4" t="s">
        <v>123</v>
      </c>
      <c r="E26" s="5">
        <v>4041</v>
      </c>
      <c r="F26" s="4" t="s">
        <v>41</v>
      </c>
      <c r="G26" s="21">
        <v>1</v>
      </c>
      <c r="H26" s="20">
        <v>18</v>
      </c>
      <c r="I26" s="34"/>
      <c r="J26" s="21">
        <v>26</v>
      </c>
      <c r="K26" s="21">
        <v>15</v>
      </c>
      <c r="L26" s="39">
        <v>15</v>
      </c>
      <c r="M26" s="32"/>
      <c r="N26" s="20">
        <v>11</v>
      </c>
      <c r="O26" s="20">
        <v>0</v>
      </c>
      <c r="P26" s="24">
        <v>0</v>
      </c>
    </row>
    <row r="27" spans="1:16" s="6" customFormat="1" x14ac:dyDescent="0.25">
      <c r="A27" s="48"/>
      <c r="B27" s="4" t="s">
        <v>148</v>
      </c>
      <c r="C27" s="4">
        <v>2605016</v>
      </c>
      <c r="D27" s="4" t="s">
        <v>123</v>
      </c>
      <c r="E27" s="5">
        <v>1425</v>
      </c>
      <c r="F27" s="4" t="s">
        <v>42</v>
      </c>
      <c r="G27" s="21">
        <v>1</v>
      </c>
      <c r="H27" s="20">
        <v>18</v>
      </c>
      <c r="I27" s="34"/>
      <c r="J27" s="21">
        <v>26</v>
      </c>
      <c r="K27" s="21">
        <v>20</v>
      </c>
      <c r="L27" s="39">
        <v>18</v>
      </c>
      <c r="M27" s="32"/>
      <c r="N27" s="20">
        <v>8</v>
      </c>
      <c r="O27" s="20">
        <v>0</v>
      </c>
      <c r="P27" s="24">
        <v>0</v>
      </c>
    </row>
    <row r="28" spans="1:16" s="6" customFormat="1" x14ac:dyDescent="0.25">
      <c r="A28" s="48"/>
      <c r="B28" s="4" t="s">
        <v>148</v>
      </c>
      <c r="C28" s="4">
        <v>2605016</v>
      </c>
      <c r="D28" s="4" t="s">
        <v>123</v>
      </c>
      <c r="E28" s="5">
        <v>4042</v>
      </c>
      <c r="F28" s="4" t="s">
        <v>43</v>
      </c>
      <c r="G28" s="21">
        <v>1</v>
      </c>
      <c r="H28" s="20">
        <v>18</v>
      </c>
      <c r="I28" s="34"/>
      <c r="J28" s="21">
        <v>26</v>
      </c>
      <c r="K28" s="21">
        <v>13</v>
      </c>
      <c r="L28" s="39">
        <v>13</v>
      </c>
      <c r="M28" s="32"/>
      <c r="N28" s="20">
        <v>13</v>
      </c>
      <c r="O28" s="20">
        <v>0</v>
      </c>
      <c r="P28" s="24">
        <v>0</v>
      </c>
    </row>
    <row r="29" spans="1:16" s="6" customFormat="1" x14ac:dyDescent="0.25">
      <c r="A29" s="48"/>
      <c r="B29" s="4" t="s">
        <v>148</v>
      </c>
      <c r="C29" s="4">
        <v>2605016</v>
      </c>
      <c r="D29" s="4" t="s">
        <v>123</v>
      </c>
      <c r="E29" s="5">
        <v>1434</v>
      </c>
      <c r="F29" s="4" t="s">
        <v>44</v>
      </c>
      <c r="G29" s="21">
        <v>1</v>
      </c>
      <c r="H29" s="20">
        <v>18</v>
      </c>
      <c r="I29" s="34"/>
      <c r="J29" s="21">
        <v>26</v>
      </c>
      <c r="K29" s="21">
        <v>26</v>
      </c>
      <c r="L29" s="39">
        <v>24</v>
      </c>
      <c r="M29" s="32">
        <v>1</v>
      </c>
      <c r="N29" s="20">
        <v>1</v>
      </c>
      <c r="O29" s="20">
        <v>143</v>
      </c>
      <c r="P29" s="24">
        <v>143</v>
      </c>
    </row>
    <row r="30" spans="1:16" s="6" customFormat="1" x14ac:dyDescent="0.25">
      <c r="A30" s="48">
        <v>12</v>
      </c>
      <c r="B30" s="4" t="s">
        <v>148</v>
      </c>
      <c r="C30" s="4">
        <v>2605008</v>
      </c>
      <c r="D30" s="4" t="s">
        <v>124</v>
      </c>
      <c r="E30" s="5">
        <v>2694</v>
      </c>
      <c r="F30" s="4" t="s">
        <v>29</v>
      </c>
      <c r="G30" s="21">
        <v>1</v>
      </c>
      <c r="H30" s="20">
        <v>18</v>
      </c>
      <c r="I30" s="34"/>
      <c r="J30" s="21">
        <v>26</v>
      </c>
      <c r="K30" s="21">
        <v>26</v>
      </c>
      <c r="L30" s="39">
        <v>24</v>
      </c>
      <c r="M30" s="32">
        <v>1</v>
      </c>
      <c r="N30" s="20">
        <v>1</v>
      </c>
      <c r="O30" s="20">
        <v>220</v>
      </c>
      <c r="P30" s="24">
        <v>220</v>
      </c>
    </row>
    <row r="31" spans="1:16" s="6" customFormat="1" x14ac:dyDescent="0.25">
      <c r="A31" s="48"/>
      <c r="B31" s="4" t="s">
        <v>148</v>
      </c>
      <c r="C31" s="4">
        <v>2605008</v>
      </c>
      <c r="D31" s="4" t="s">
        <v>124</v>
      </c>
      <c r="E31" s="5">
        <v>2696</v>
      </c>
      <c r="F31" s="4" t="s">
        <v>46</v>
      </c>
      <c r="G31" s="21">
        <v>1</v>
      </c>
      <c r="H31" s="20">
        <v>18</v>
      </c>
      <c r="I31" s="34"/>
      <c r="J31" s="21">
        <v>26</v>
      </c>
      <c r="K31" s="21">
        <v>19</v>
      </c>
      <c r="L31" s="39">
        <v>17</v>
      </c>
      <c r="M31" s="32"/>
      <c r="N31" s="20">
        <v>9</v>
      </c>
      <c r="O31" s="20">
        <v>0</v>
      </c>
      <c r="P31" s="24">
        <v>0</v>
      </c>
    </row>
    <row r="32" spans="1:16" s="6" customFormat="1" x14ac:dyDescent="0.25">
      <c r="A32" s="48"/>
      <c r="B32" s="4" t="s">
        <v>148</v>
      </c>
      <c r="C32" s="4">
        <v>2605008</v>
      </c>
      <c r="D32" s="4" t="s">
        <v>124</v>
      </c>
      <c r="E32" s="5">
        <v>2698</v>
      </c>
      <c r="F32" s="4" t="s">
        <v>47</v>
      </c>
      <c r="G32" s="21">
        <v>1</v>
      </c>
      <c r="H32" s="20">
        <v>18</v>
      </c>
      <c r="I32" s="34"/>
      <c r="J32" s="21">
        <v>26</v>
      </c>
      <c r="K32" s="21">
        <v>19</v>
      </c>
      <c r="L32" s="39">
        <v>16</v>
      </c>
      <c r="M32" s="32"/>
      <c r="N32" s="20">
        <v>10</v>
      </c>
      <c r="O32" s="20">
        <v>0</v>
      </c>
      <c r="P32" s="24">
        <v>0</v>
      </c>
    </row>
    <row r="33" spans="1:16" s="6" customFormat="1" x14ac:dyDescent="0.25">
      <c r="A33" s="48">
        <v>13</v>
      </c>
      <c r="B33" s="4" t="s">
        <v>149</v>
      </c>
      <c r="C33" s="4">
        <v>2604004</v>
      </c>
      <c r="D33" s="4" t="s">
        <v>125</v>
      </c>
      <c r="E33" s="5">
        <v>3257</v>
      </c>
      <c r="F33" s="4" t="s">
        <v>50</v>
      </c>
      <c r="G33" s="21">
        <v>1</v>
      </c>
      <c r="H33" s="20">
        <v>12</v>
      </c>
      <c r="I33" s="34"/>
      <c r="J33" s="21">
        <v>26</v>
      </c>
      <c r="K33" s="21">
        <v>18</v>
      </c>
      <c r="L33" s="39">
        <v>18</v>
      </c>
      <c r="M33" s="32"/>
      <c r="N33" s="20">
        <v>8</v>
      </c>
      <c r="O33" s="20">
        <v>0</v>
      </c>
      <c r="P33" s="24">
        <v>0</v>
      </c>
    </row>
    <row r="34" spans="1:16" s="6" customFormat="1" x14ac:dyDescent="0.25">
      <c r="A34" s="48"/>
      <c r="B34" s="4" t="s">
        <v>149</v>
      </c>
      <c r="C34" s="4">
        <v>2604004</v>
      </c>
      <c r="D34" s="4" t="s">
        <v>125</v>
      </c>
      <c r="E34" s="5">
        <v>1533</v>
      </c>
      <c r="F34" s="4" t="s">
        <v>21</v>
      </c>
      <c r="G34" s="21">
        <v>1</v>
      </c>
      <c r="H34" s="20">
        <v>12</v>
      </c>
      <c r="I34" s="34"/>
      <c r="J34" s="21">
        <v>26</v>
      </c>
      <c r="K34" s="21">
        <v>23</v>
      </c>
      <c r="L34" s="39">
        <v>22</v>
      </c>
      <c r="M34" s="32"/>
      <c r="N34" s="20">
        <v>4</v>
      </c>
      <c r="O34" s="20">
        <v>0</v>
      </c>
      <c r="P34" s="24">
        <v>0</v>
      </c>
    </row>
    <row r="35" spans="1:16" s="6" customFormat="1" x14ac:dyDescent="0.25">
      <c r="A35" s="48">
        <v>14</v>
      </c>
      <c r="B35" s="4" t="s">
        <v>154</v>
      </c>
      <c r="C35" s="4">
        <v>2609006</v>
      </c>
      <c r="D35" s="4" t="s">
        <v>139</v>
      </c>
      <c r="E35" s="5">
        <v>1392</v>
      </c>
      <c r="F35" s="4" t="s">
        <v>21</v>
      </c>
      <c r="G35" s="21">
        <v>1</v>
      </c>
      <c r="H35" s="20">
        <v>12</v>
      </c>
      <c r="I35" s="34"/>
      <c r="J35" s="21">
        <v>26</v>
      </c>
      <c r="K35" s="21">
        <v>27</v>
      </c>
      <c r="L35" s="39">
        <v>26</v>
      </c>
      <c r="M35" s="32"/>
      <c r="N35" s="20"/>
      <c r="O35" s="20">
        <v>0</v>
      </c>
      <c r="P35" s="24">
        <v>0</v>
      </c>
    </row>
    <row r="36" spans="1:16" s="6" customFormat="1" x14ac:dyDescent="0.25">
      <c r="A36" s="48">
        <v>15</v>
      </c>
      <c r="B36" s="4" t="s">
        <v>155</v>
      </c>
      <c r="C36" s="4">
        <v>2611018</v>
      </c>
      <c r="D36" s="4" t="s">
        <v>124</v>
      </c>
      <c r="E36" s="5">
        <v>3086</v>
      </c>
      <c r="F36" s="4" t="s">
        <v>47</v>
      </c>
      <c r="G36" s="21">
        <v>1</v>
      </c>
      <c r="H36" s="20">
        <v>17</v>
      </c>
      <c r="I36" s="34">
        <v>1</v>
      </c>
      <c r="J36" s="21">
        <v>25</v>
      </c>
      <c r="K36" s="21">
        <v>21</v>
      </c>
      <c r="L36" s="39">
        <v>20</v>
      </c>
      <c r="M36" s="32"/>
      <c r="N36" s="20">
        <v>5</v>
      </c>
      <c r="O36" s="20">
        <v>0</v>
      </c>
      <c r="P36" s="24">
        <v>0</v>
      </c>
    </row>
    <row r="37" spans="1:16" s="6" customFormat="1" x14ac:dyDescent="0.25">
      <c r="A37" s="48"/>
      <c r="B37" s="4" t="s">
        <v>155</v>
      </c>
      <c r="C37" s="4">
        <v>2611018</v>
      </c>
      <c r="D37" s="4" t="s">
        <v>124</v>
      </c>
      <c r="E37" s="5">
        <v>2643</v>
      </c>
      <c r="F37" s="4" t="s">
        <v>52</v>
      </c>
      <c r="G37" s="21">
        <v>1</v>
      </c>
      <c r="H37" s="20">
        <v>12</v>
      </c>
      <c r="I37" s="34"/>
      <c r="J37" s="21">
        <v>26</v>
      </c>
      <c r="K37" s="21">
        <v>18</v>
      </c>
      <c r="L37" s="39">
        <v>18</v>
      </c>
      <c r="M37" s="32"/>
      <c r="N37" s="20">
        <v>8</v>
      </c>
      <c r="O37" s="20">
        <v>0</v>
      </c>
      <c r="P37" s="24">
        <v>0</v>
      </c>
    </row>
    <row r="38" spans="1:16" s="6" customFormat="1" x14ac:dyDescent="0.25">
      <c r="A38" s="48"/>
      <c r="B38" s="4" t="s">
        <v>155</v>
      </c>
      <c r="C38" s="4">
        <v>2611018</v>
      </c>
      <c r="D38" s="4" t="s">
        <v>124</v>
      </c>
      <c r="E38" s="5">
        <v>2653</v>
      </c>
      <c r="F38" s="4" t="s">
        <v>35</v>
      </c>
      <c r="G38" s="21">
        <v>1</v>
      </c>
      <c r="H38" s="20">
        <v>12</v>
      </c>
      <c r="I38" s="34"/>
      <c r="J38" s="21">
        <v>26</v>
      </c>
      <c r="K38" s="21">
        <v>18</v>
      </c>
      <c r="L38" s="39">
        <v>18</v>
      </c>
      <c r="M38" s="32"/>
      <c r="N38" s="20">
        <v>8</v>
      </c>
      <c r="O38" s="20">
        <v>0</v>
      </c>
      <c r="P38" s="24">
        <v>0</v>
      </c>
    </row>
    <row r="39" spans="1:16" s="6" customFormat="1" x14ac:dyDescent="0.25">
      <c r="A39" s="48">
        <v>16</v>
      </c>
      <c r="B39" s="4" t="s">
        <v>150</v>
      </c>
      <c r="C39" s="4">
        <v>2603009</v>
      </c>
      <c r="D39" s="4" t="s">
        <v>126</v>
      </c>
      <c r="E39" s="5">
        <v>4509</v>
      </c>
      <c r="F39" s="4" t="s">
        <v>55</v>
      </c>
      <c r="G39" s="21">
        <v>1</v>
      </c>
      <c r="H39" s="20">
        <v>18</v>
      </c>
      <c r="I39" s="34"/>
      <c r="J39" s="21">
        <v>26</v>
      </c>
      <c r="K39" s="21">
        <v>22</v>
      </c>
      <c r="L39" s="39">
        <v>17</v>
      </c>
      <c r="M39" s="32">
        <v>1</v>
      </c>
      <c r="N39" s="20">
        <v>8</v>
      </c>
      <c r="O39" s="20">
        <v>175</v>
      </c>
      <c r="P39" s="24">
        <v>175</v>
      </c>
    </row>
    <row r="40" spans="1:16" s="6" customFormat="1" x14ac:dyDescent="0.25">
      <c r="A40" s="48"/>
      <c r="B40" s="4" t="s">
        <v>150</v>
      </c>
      <c r="C40" s="4">
        <v>2603009</v>
      </c>
      <c r="D40" s="4" t="s">
        <v>126</v>
      </c>
      <c r="E40" s="5">
        <v>1872</v>
      </c>
      <c r="F40" s="4" t="s">
        <v>56</v>
      </c>
      <c r="G40" s="21">
        <v>1</v>
      </c>
      <c r="H40" s="20">
        <v>12</v>
      </c>
      <c r="I40" s="34"/>
      <c r="J40" s="21">
        <v>26</v>
      </c>
      <c r="K40" s="21">
        <v>15</v>
      </c>
      <c r="L40" s="39">
        <v>12</v>
      </c>
      <c r="M40" s="32">
        <v>1</v>
      </c>
      <c r="N40" s="20">
        <v>13</v>
      </c>
      <c r="O40" s="20">
        <v>89</v>
      </c>
      <c r="P40" s="24">
        <v>89</v>
      </c>
    </row>
    <row r="41" spans="1:16" s="6" customFormat="1" x14ac:dyDescent="0.25">
      <c r="A41" s="48"/>
      <c r="B41" s="4" t="s">
        <v>150</v>
      </c>
      <c r="C41" s="4">
        <v>2603009</v>
      </c>
      <c r="D41" s="4" t="s">
        <v>126</v>
      </c>
      <c r="E41" s="5">
        <v>1901</v>
      </c>
      <c r="F41" s="4" t="s">
        <v>57</v>
      </c>
      <c r="G41" s="21">
        <v>1</v>
      </c>
      <c r="H41" s="20">
        <v>12</v>
      </c>
      <c r="I41" s="34"/>
      <c r="J41" s="21">
        <v>26</v>
      </c>
      <c r="K41" s="21">
        <v>13</v>
      </c>
      <c r="L41" s="39">
        <v>12</v>
      </c>
      <c r="M41" s="32"/>
      <c r="N41" s="20">
        <v>14</v>
      </c>
      <c r="O41" s="20">
        <v>0</v>
      </c>
      <c r="P41" s="24">
        <v>0</v>
      </c>
    </row>
    <row r="42" spans="1:16" s="6" customFormat="1" x14ac:dyDescent="0.25">
      <c r="A42" s="48">
        <v>17</v>
      </c>
      <c r="B42" s="4" t="s">
        <v>150</v>
      </c>
      <c r="C42" s="4">
        <v>2603008</v>
      </c>
      <c r="D42" s="4" t="s">
        <v>127</v>
      </c>
      <c r="E42" s="5">
        <v>3068</v>
      </c>
      <c r="F42" s="4" t="s">
        <v>46</v>
      </c>
      <c r="G42" s="21">
        <v>1</v>
      </c>
      <c r="H42" s="20">
        <v>18</v>
      </c>
      <c r="I42" s="34"/>
      <c r="J42" s="21">
        <v>26</v>
      </c>
      <c r="K42" s="21">
        <v>26</v>
      </c>
      <c r="L42" s="39">
        <v>20</v>
      </c>
      <c r="M42" s="32">
        <v>6</v>
      </c>
      <c r="N42" s="20"/>
      <c r="O42" s="20">
        <v>178</v>
      </c>
      <c r="P42" s="24">
        <v>269.5</v>
      </c>
    </row>
    <row r="43" spans="1:16" s="6" customFormat="1" x14ac:dyDescent="0.25">
      <c r="A43" s="48"/>
      <c r="B43" s="4" t="s">
        <v>150</v>
      </c>
      <c r="C43" s="4">
        <v>2603008</v>
      </c>
      <c r="D43" s="4" t="s">
        <v>127</v>
      </c>
      <c r="E43" s="5">
        <v>1775</v>
      </c>
      <c r="F43" s="4" t="s">
        <v>29</v>
      </c>
      <c r="G43" s="21">
        <v>1</v>
      </c>
      <c r="H43" s="20">
        <v>18</v>
      </c>
      <c r="I43" s="34"/>
      <c r="J43" s="21">
        <v>26</v>
      </c>
      <c r="K43" s="21">
        <v>26</v>
      </c>
      <c r="L43" s="39">
        <v>20</v>
      </c>
      <c r="M43" s="32">
        <v>6</v>
      </c>
      <c r="N43" s="20"/>
      <c r="O43" s="20">
        <v>214</v>
      </c>
      <c r="P43" s="24">
        <v>261.5</v>
      </c>
    </row>
    <row r="44" spans="1:16" s="6" customFormat="1" x14ac:dyDescent="0.25">
      <c r="A44" s="48"/>
      <c r="B44" s="4" t="s">
        <v>150</v>
      </c>
      <c r="C44" s="4">
        <v>2603008</v>
      </c>
      <c r="D44" s="4" t="s">
        <v>127</v>
      </c>
      <c r="E44" s="5">
        <v>1787</v>
      </c>
      <c r="F44" s="4" t="s">
        <v>47</v>
      </c>
      <c r="G44" s="21">
        <v>1</v>
      </c>
      <c r="H44" s="20">
        <v>18</v>
      </c>
      <c r="I44" s="34"/>
      <c r="J44" s="21">
        <v>26</v>
      </c>
      <c r="K44" s="21">
        <v>26</v>
      </c>
      <c r="L44" s="39">
        <v>19</v>
      </c>
      <c r="M44" s="32">
        <v>7</v>
      </c>
      <c r="N44" s="20"/>
      <c r="O44" s="20">
        <v>92</v>
      </c>
      <c r="P44" s="24">
        <v>162</v>
      </c>
    </row>
    <row r="45" spans="1:16" s="6" customFormat="1" x14ac:dyDescent="0.25">
      <c r="A45" s="48">
        <v>18</v>
      </c>
      <c r="B45" s="4" t="s">
        <v>151</v>
      </c>
      <c r="C45" s="4">
        <v>2601028</v>
      </c>
      <c r="D45" s="4" t="s">
        <v>128</v>
      </c>
      <c r="E45" s="5">
        <v>2598</v>
      </c>
      <c r="F45" s="4" t="s">
        <v>66</v>
      </c>
      <c r="G45" s="21">
        <v>2</v>
      </c>
      <c r="H45" s="20">
        <v>44</v>
      </c>
      <c r="I45" s="34"/>
      <c r="J45" s="21">
        <v>52</v>
      </c>
      <c r="K45" s="21">
        <v>52</v>
      </c>
      <c r="L45" s="39">
        <v>48</v>
      </c>
      <c r="M45" s="32">
        <v>4</v>
      </c>
      <c r="N45" s="20"/>
      <c r="O45" s="20">
        <v>310.5</v>
      </c>
      <c r="P45" s="24">
        <v>342</v>
      </c>
    </row>
    <row r="46" spans="1:16" s="6" customFormat="1" x14ac:dyDescent="0.25">
      <c r="A46" s="48"/>
      <c r="B46" s="4" t="s">
        <v>151</v>
      </c>
      <c r="C46" s="4">
        <v>2601028</v>
      </c>
      <c r="D46" s="4" t="s">
        <v>128</v>
      </c>
      <c r="E46" s="5">
        <v>2604</v>
      </c>
      <c r="F46" s="4" t="s">
        <v>62</v>
      </c>
      <c r="G46" s="21">
        <v>1</v>
      </c>
      <c r="H46" s="20">
        <v>18</v>
      </c>
      <c r="I46" s="34"/>
      <c r="J46" s="21">
        <v>26</v>
      </c>
      <c r="K46" s="21">
        <v>26</v>
      </c>
      <c r="L46" s="39">
        <v>22</v>
      </c>
      <c r="M46" s="32">
        <v>4</v>
      </c>
      <c r="N46" s="20"/>
      <c r="O46" s="20">
        <v>356</v>
      </c>
      <c r="P46" s="24">
        <v>380.5</v>
      </c>
    </row>
    <row r="47" spans="1:16" s="6" customFormat="1" x14ac:dyDescent="0.25">
      <c r="A47" s="48"/>
      <c r="B47" s="4" t="s">
        <v>151</v>
      </c>
      <c r="C47" s="4">
        <v>2601028</v>
      </c>
      <c r="D47" s="4" t="s">
        <v>128</v>
      </c>
      <c r="E47" s="5">
        <v>2622</v>
      </c>
      <c r="F47" s="4" t="s">
        <v>63</v>
      </c>
      <c r="G47" s="21">
        <v>1</v>
      </c>
      <c r="H47" s="20">
        <v>18</v>
      </c>
      <c r="I47" s="34"/>
      <c r="J47" s="21">
        <v>26</v>
      </c>
      <c r="K47" s="21">
        <v>26</v>
      </c>
      <c r="L47" s="39">
        <v>20</v>
      </c>
      <c r="M47" s="32">
        <v>6</v>
      </c>
      <c r="N47" s="20"/>
      <c r="O47" s="20">
        <v>303.5</v>
      </c>
      <c r="P47" s="24">
        <v>342</v>
      </c>
    </row>
    <row r="48" spans="1:16" s="6" customFormat="1" x14ac:dyDescent="0.25">
      <c r="A48" s="48"/>
      <c r="B48" s="4" t="s">
        <v>151</v>
      </c>
      <c r="C48" s="4">
        <v>2601028</v>
      </c>
      <c r="D48" s="4" t="s">
        <v>128</v>
      </c>
      <c r="E48" s="5">
        <v>2625</v>
      </c>
      <c r="F48" s="4" t="s">
        <v>61</v>
      </c>
      <c r="G48" s="21">
        <v>1</v>
      </c>
      <c r="H48" s="20">
        <v>18</v>
      </c>
      <c r="I48" s="34"/>
      <c r="J48" s="21">
        <v>26</v>
      </c>
      <c r="K48" s="21">
        <v>26</v>
      </c>
      <c r="L48" s="39">
        <v>24</v>
      </c>
      <c r="M48" s="32">
        <v>2</v>
      </c>
      <c r="N48" s="20"/>
      <c r="O48" s="20">
        <v>382.5</v>
      </c>
      <c r="P48" s="24">
        <v>392.5</v>
      </c>
    </row>
    <row r="49" spans="1:16" s="6" customFormat="1" x14ac:dyDescent="0.25">
      <c r="A49" s="48"/>
      <c r="B49" s="4" t="s">
        <v>151</v>
      </c>
      <c r="C49" s="4">
        <v>2601028</v>
      </c>
      <c r="D49" s="4" t="s">
        <v>128</v>
      </c>
      <c r="E49" s="5">
        <v>2628</v>
      </c>
      <c r="F49" s="4" t="s">
        <v>65</v>
      </c>
      <c r="G49" s="21">
        <v>1</v>
      </c>
      <c r="H49" s="20">
        <v>18</v>
      </c>
      <c r="I49" s="34"/>
      <c r="J49" s="21">
        <v>26</v>
      </c>
      <c r="K49" s="21">
        <v>26</v>
      </c>
      <c r="L49" s="39">
        <v>23</v>
      </c>
      <c r="M49" s="32">
        <v>3</v>
      </c>
      <c r="N49" s="20"/>
      <c r="O49" s="20">
        <v>316</v>
      </c>
      <c r="P49" s="24">
        <v>353</v>
      </c>
    </row>
    <row r="50" spans="1:16" s="6" customFormat="1" x14ac:dyDescent="0.25">
      <c r="A50" s="48"/>
      <c r="B50" s="4" t="s">
        <v>151</v>
      </c>
      <c r="C50" s="4">
        <v>2601028</v>
      </c>
      <c r="D50" s="4" t="s">
        <v>128</v>
      </c>
      <c r="E50" s="5">
        <v>2614</v>
      </c>
      <c r="F50" s="4" t="s">
        <v>64</v>
      </c>
      <c r="G50" s="21">
        <v>1</v>
      </c>
      <c r="H50" s="20">
        <v>18</v>
      </c>
      <c r="I50" s="34"/>
      <c r="J50" s="21">
        <v>26</v>
      </c>
      <c r="K50" s="21">
        <v>26</v>
      </c>
      <c r="L50" s="39">
        <v>21</v>
      </c>
      <c r="M50" s="32">
        <v>5</v>
      </c>
      <c r="N50" s="20"/>
      <c r="O50" s="20">
        <v>296.5</v>
      </c>
      <c r="P50" s="24">
        <v>336</v>
      </c>
    </row>
    <row r="51" spans="1:16" s="6" customFormat="1" x14ac:dyDescent="0.25">
      <c r="A51" s="48">
        <v>19</v>
      </c>
      <c r="B51" s="4" t="s">
        <v>151</v>
      </c>
      <c r="C51" s="4">
        <v>2601029</v>
      </c>
      <c r="D51" s="4" t="s">
        <v>129</v>
      </c>
      <c r="E51" s="5">
        <v>2298</v>
      </c>
      <c r="F51" s="4" t="s">
        <v>16</v>
      </c>
      <c r="G51" s="21">
        <v>1</v>
      </c>
      <c r="H51" s="20">
        <v>18</v>
      </c>
      <c r="I51" s="34"/>
      <c r="J51" s="21">
        <v>26</v>
      </c>
      <c r="K51" s="21">
        <v>26</v>
      </c>
      <c r="L51" s="39">
        <v>21</v>
      </c>
      <c r="M51" s="32">
        <v>5</v>
      </c>
      <c r="N51" s="20"/>
      <c r="O51" s="20">
        <v>240</v>
      </c>
      <c r="P51" s="24">
        <v>271</v>
      </c>
    </row>
    <row r="52" spans="1:16" s="6" customFormat="1" x14ac:dyDescent="0.25">
      <c r="A52" s="48"/>
      <c r="B52" s="4" t="s">
        <v>151</v>
      </c>
      <c r="C52" s="4">
        <v>2601029</v>
      </c>
      <c r="D52" s="4" t="s">
        <v>129</v>
      </c>
      <c r="E52" s="5">
        <v>2299</v>
      </c>
      <c r="F52" s="4" t="s">
        <v>157</v>
      </c>
      <c r="G52" s="21">
        <v>1</v>
      </c>
      <c r="H52" s="20">
        <v>18</v>
      </c>
      <c r="I52" s="34"/>
      <c r="J52" s="21">
        <v>26</v>
      </c>
      <c r="K52" s="21">
        <v>26</v>
      </c>
      <c r="L52" s="39">
        <v>21</v>
      </c>
      <c r="M52" s="32">
        <v>5</v>
      </c>
      <c r="N52" s="20"/>
      <c r="O52" s="20">
        <v>250.5</v>
      </c>
      <c r="P52" s="24">
        <v>309.75</v>
      </c>
    </row>
    <row r="53" spans="1:16" s="6" customFormat="1" x14ac:dyDescent="0.25">
      <c r="A53" s="48"/>
      <c r="B53" s="4" t="s">
        <v>151</v>
      </c>
      <c r="C53" s="4">
        <v>2601029</v>
      </c>
      <c r="D53" s="4" t="s">
        <v>129</v>
      </c>
      <c r="E53" s="5">
        <v>2301</v>
      </c>
      <c r="F53" s="4" t="s">
        <v>69</v>
      </c>
      <c r="G53" s="21">
        <v>1</v>
      </c>
      <c r="H53" s="20">
        <v>18</v>
      </c>
      <c r="I53" s="34"/>
      <c r="J53" s="21">
        <v>26</v>
      </c>
      <c r="K53" s="21">
        <v>26</v>
      </c>
      <c r="L53" s="39">
        <v>21</v>
      </c>
      <c r="M53" s="32">
        <v>4</v>
      </c>
      <c r="N53" s="20">
        <v>1</v>
      </c>
      <c r="O53" s="20">
        <v>279.75</v>
      </c>
      <c r="P53" s="24">
        <v>334</v>
      </c>
    </row>
    <row r="54" spans="1:16" s="6" customFormat="1" x14ac:dyDescent="0.25">
      <c r="A54" s="48"/>
      <c r="B54" s="4" t="s">
        <v>151</v>
      </c>
      <c r="C54" s="4">
        <v>2601029</v>
      </c>
      <c r="D54" s="4" t="s">
        <v>129</v>
      </c>
      <c r="E54" s="5">
        <v>2300</v>
      </c>
      <c r="F54" s="4" t="s">
        <v>71</v>
      </c>
      <c r="G54" s="21">
        <v>1</v>
      </c>
      <c r="H54" s="20">
        <v>18</v>
      </c>
      <c r="I54" s="34"/>
      <c r="J54" s="21">
        <v>26</v>
      </c>
      <c r="K54" s="21">
        <v>26</v>
      </c>
      <c r="L54" s="39">
        <v>26</v>
      </c>
      <c r="M54" s="32"/>
      <c r="N54" s="20"/>
      <c r="O54" s="20">
        <v>0</v>
      </c>
      <c r="P54" s="24">
        <v>0</v>
      </c>
    </row>
    <row r="55" spans="1:16" s="6" customFormat="1" x14ac:dyDescent="0.25">
      <c r="A55" s="48"/>
      <c r="B55" s="4" t="s">
        <v>151</v>
      </c>
      <c r="C55" s="4">
        <v>2601029</v>
      </c>
      <c r="D55" s="4" t="s">
        <v>129</v>
      </c>
      <c r="E55" s="5">
        <v>2302</v>
      </c>
      <c r="F55" s="4" t="s">
        <v>68</v>
      </c>
      <c r="G55" s="21">
        <v>1</v>
      </c>
      <c r="H55" s="20">
        <v>18</v>
      </c>
      <c r="I55" s="34"/>
      <c r="J55" s="21">
        <v>26</v>
      </c>
      <c r="K55" s="21">
        <v>26</v>
      </c>
      <c r="L55" s="39">
        <v>26</v>
      </c>
      <c r="M55" s="32"/>
      <c r="N55" s="20"/>
      <c r="O55" s="20">
        <v>0</v>
      </c>
      <c r="P55" s="24">
        <v>0</v>
      </c>
    </row>
    <row r="56" spans="1:16" s="6" customFormat="1" x14ac:dyDescent="0.25">
      <c r="A56" s="48">
        <v>20</v>
      </c>
      <c r="B56" s="4" t="s">
        <v>151</v>
      </c>
      <c r="C56" s="4">
        <v>2601904</v>
      </c>
      <c r="D56" s="4" t="s">
        <v>133</v>
      </c>
      <c r="E56" s="5">
        <v>3927</v>
      </c>
      <c r="F56" s="4" t="s">
        <v>91</v>
      </c>
      <c r="G56" s="21">
        <v>1</v>
      </c>
      <c r="H56" s="20">
        <v>12</v>
      </c>
      <c r="I56" s="34"/>
      <c r="J56" s="21">
        <v>26</v>
      </c>
      <c r="K56" s="21">
        <v>26</v>
      </c>
      <c r="L56" s="39">
        <v>20</v>
      </c>
      <c r="M56" s="32">
        <v>6</v>
      </c>
      <c r="N56" s="20"/>
      <c r="O56" s="20">
        <v>95</v>
      </c>
      <c r="P56" s="24">
        <v>274.5</v>
      </c>
    </row>
    <row r="57" spans="1:16" s="6" customFormat="1" x14ac:dyDescent="0.25">
      <c r="A57" s="48"/>
      <c r="B57" s="4" t="s">
        <v>151</v>
      </c>
      <c r="C57" s="4">
        <v>2601904</v>
      </c>
      <c r="D57" s="4" t="s">
        <v>133</v>
      </c>
      <c r="E57" s="5">
        <v>1824</v>
      </c>
      <c r="F57" s="4" t="s">
        <v>92</v>
      </c>
      <c r="G57" s="21">
        <v>1</v>
      </c>
      <c r="H57" s="20">
        <v>12</v>
      </c>
      <c r="I57" s="34"/>
      <c r="J57" s="21">
        <v>26</v>
      </c>
      <c r="K57" s="21">
        <v>19</v>
      </c>
      <c r="L57" s="39">
        <v>18</v>
      </c>
      <c r="M57" s="32"/>
      <c r="N57" s="20">
        <v>8</v>
      </c>
      <c r="O57" s="20">
        <v>0</v>
      </c>
      <c r="P57" s="24">
        <v>0</v>
      </c>
    </row>
    <row r="58" spans="1:16" s="6" customFormat="1" x14ac:dyDescent="0.25">
      <c r="A58" s="48"/>
      <c r="B58" s="4" t="s">
        <v>151</v>
      </c>
      <c r="C58" s="4">
        <v>2601904</v>
      </c>
      <c r="D58" s="4" t="s">
        <v>133</v>
      </c>
      <c r="E58" s="5">
        <v>1829</v>
      </c>
      <c r="F58" s="4" t="s">
        <v>93</v>
      </c>
      <c r="G58" s="21">
        <v>1</v>
      </c>
      <c r="H58" s="20">
        <v>12</v>
      </c>
      <c r="I58" s="34"/>
      <c r="J58" s="21">
        <v>26</v>
      </c>
      <c r="K58" s="21">
        <v>13</v>
      </c>
      <c r="L58" s="39">
        <v>12</v>
      </c>
      <c r="M58" s="32"/>
      <c r="N58" s="20">
        <v>14</v>
      </c>
      <c r="O58" s="20">
        <v>0</v>
      </c>
      <c r="P58" s="24">
        <v>0</v>
      </c>
    </row>
    <row r="59" spans="1:16" s="6" customFormat="1" x14ac:dyDescent="0.25">
      <c r="A59" s="48">
        <v>21</v>
      </c>
      <c r="B59" s="4" t="s">
        <v>151</v>
      </c>
      <c r="C59" s="4">
        <v>2601031</v>
      </c>
      <c r="D59" s="4" t="s">
        <v>137</v>
      </c>
      <c r="E59" s="5">
        <v>4579</v>
      </c>
      <c r="F59" s="4" t="s">
        <v>102</v>
      </c>
      <c r="G59" s="21">
        <v>1</v>
      </c>
      <c r="H59" s="20">
        <v>18</v>
      </c>
      <c r="I59" s="34"/>
      <c r="J59" s="21">
        <v>26</v>
      </c>
      <c r="K59" s="21">
        <v>26</v>
      </c>
      <c r="L59" s="39">
        <v>17</v>
      </c>
      <c r="M59" s="32">
        <v>9</v>
      </c>
      <c r="N59" s="20"/>
      <c r="O59" s="20">
        <v>143</v>
      </c>
      <c r="P59" s="24">
        <v>251</v>
      </c>
    </row>
    <row r="60" spans="1:16" s="6" customFormat="1" x14ac:dyDescent="0.25">
      <c r="A60" s="48"/>
      <c r="B60" s="4" t="s">
        <v>151</v>
      </c>
      <c r="C60" s="4">
        <v>2601031</v>
      </c>
      <c r="D60" s="4" t="s">
        <v>137</v>
      </c>
      <c r="E60" s="5">
        <v>1487</v>
      </c>
      <c r="F60" s="4" t="s">
        <v>41</v>
      </c>
      <c r="G60" s="21">
        <v>1</v>
      </c>
      <c r="H60" s="20">
        <v>18</v>
      </c>
      <c r="I60" s="34"/>
      <c r="J60" s="21">
        <v>26</v>
      </c>
      <c r="K60" s="21">
        <v>26</v>
      </c>
      <c r="L60" s="39">
        <v>19</v>
      </c>
      <c r="M60" s="32">
        <v>7</v>
      </c>
      <c r="N60" s="20"/>
      <c r="O60" s="20">
        <v>175.25</v>
      </c>
      <c r="P60" s="24">
        <v>231.25</v>
      </c>
    </row>
    <row r="61" spans="1:16" s="6" customFormat="1" x14ac:dyDescent="0.25">
      <c r="A61" s="48"/>
      <c r="B61" s="4" t="s">
        <v>151</v>
      </c>
      <c r="C61" s="4">
        <v>2601031</v>
      </c>
      <c r="D61" s="4" t="s">
        <v>137</v>
      </c>
      <c r="E61" s="5">
        <v>4200</v>
      </c>
      <c r="F61" s="4" t="s">
        <v>103</v>
      </c>
      <c r="G61" s="21">
        <v>1</v>
      </c>
      <c r="H61" s="20">
        <v>18</v>
      </c>
      <c r="I61" s="34"/>
      <c r="J61" s="21">
        <v>26</v>
      </c>
      <c r="K61" s="21">
        <v>26</v>
      </c>
      <c r="L61" s="39">
        <v>16</v>
      </c>
      <c r="M61" s="32">
        <v>10</v>
      </c>
      <c r="N61" s="20"/>
      <c r="O61" s="20">
        <v>140</v>
      </c>
      <c r="P61" s="24">
        <v>254.25</v>
      </c>
    </row>
    <row r="62" spans="1:16" s="6" customFormat="1" x14ac:dyDescent="0.25">
      <c r="A62" s="48"/>
      <c r="B62" s="4" t="s">
        <v>151</v>
      </c>
      <c r="C62" s="4">
        <v>2601031</v>
      </c>
      <c r="D62" s="4" t="s">
        <v>137</v>
      </c>
      <c r="E62" s="5">
        <v>1512</v>
      </c>
      <c r="F62" s="4" t="s">
        <v>104</v>
      </c>
      <c r="G62" s="21">
        <v>1</v>
      </c>
      <c r="H62" s="20">
        <v>18</v>
      </c>
      <c r="I62" s="34"/>
      <c r="J62" s="21">
        <v>26</v>
      </c>
      <c r="K62" s="21">
        <v>26</v>
      </c>
      <c r="L62" s="39">
        <v>16</v>
      </c>
      <c r="M62" s="32">
        <v>10</v>
      </c>
      <c r="N62" s="20"/>
      <c r="O62" s="20">
        <v>167</v>
      </c>
      <c r="P62" s="24">
        <v>275</v>
      </c>
    </row>
    <row r="63" spans="1:16" s="6" customFormat="1" x14ac:dyDescent="0.25">
      <c r="A63" s="48"/>
      <c r="B63" s="4" t="s">
        <v>151</v>
      </c>
      <c r="C63" s="4">
        <v>2601031</v>
      </c>
      <c r="D63" s="4" t="s">
        <v>137</v>
      </c>
      <c r="E63" s="5">
        <v>1517</v>
      </c>
      <c r="F63" s="4" t="s">
        <v>105</v>
      </c>
      <c r="G63" s="21">
        <v>1</v>
      </c>
      <c r="H63" s="20">
        <v>18</v>
      </c>
      <c r="I63" s="34"/>
      <c r="J63" s="21">
        <v>26</v>
      </c>
      <c r="K63" s="21">
        <v>26</v>
      </c>
      <c r="L63" s="39">
        <v>17</v>
      </c>
      <c r="M63" s="32">
        <v>9</v>
      </c>
      <c r="N63" s="20"/>
      <c r="O63" s="20">
        <v>174.5</v>
      </c>
      <c r="P63" s="24">
        <v>248.75</v>
      </c>
    </row>
    <row r="64" spans="1:16" s="6" customFormat="1" x14ac:dyDescent="0.25">
      <c r="A64" s="48">
        <v>22</v>
      </c>
      <c r="B64" s="4" t="s">
        <v>151</v>
      </c>
      <c r="C64" s="4">
        <v>2601032</v>
      </c>
      <c r="D64" s="4" t="s">
        <v>134</v>
      </c>
      <c r="E64" s="5">
        <v>2873</v>
      </c>
      <c r="F64" s="4" t="s">
        <v>96</v>
      </c>
      <c r="G64" s="21">
        <v>1</v>
      </c>
      <c r="H64" s="20">
        <v>18</v>
      </c>
      <c r="I64" s="34"/>
      <c r="J64" s="21">
        <v>26</v>
      </c>
      <c r="K64" s="21">
        <v>26</v>
      </c>
      <c r="L64" s="39">
        <v>15</v>
      </c>
      <c r="M64" s="32">
        <v>11</v>
      </c>
      <c r="N64" s="20"/>
      <c r="O64" s="20">
        <v>232.5</v>
      </c>
      <c r="P64" s="24">
        <v>308.5</v>
      </c>
    </row>
    <row r="65" spans="1:16" s="6" customFormat="1" x14ac:dyDescent="0.25">
      <c r="A65" s="48"/>
      <c r="B65" s="4" t="s">
        <v>151</v>
      </c>
      <c r="C65" s="4">
        <v>2601032</v>
      </c>
      <c r="D65" s="4" t="s">
        <v>134</v>
      </c>
      <c r="E65" s="5">
        <v>3615</v>
      </c>
      <c r="F65" s="4" t="s">
        <v>97</v>
      </c>
      <c r="G65" s="21">
        <v>0.5</v>
      </c>
      <c r="H65" s="20">
        <v>9</v>
      </c>
      <c r="I65" s="34"/>
      <c r="J65" s="21">
        <v>13</v>
      </c>
      <c r="K65" s="21">
        <v>13</v>
      </c>
      <c r="L65" s="39">
        <v>6</v>
      </c>
      <c r="M65" s="32">
        <v>7</v>
      </c>
      <c r="N65" s="20"/>
      <c r="O65" s="20">
        <v>227</v>
      </c>
      <c r="P65" s="24">
        <v>338.25</v>
      </c>
    </row>
    <row r="66" spans="1:16" s="6" customFormat="1" ht="25.9" customHeight="1" x14ac:dyDescent="0.25">
      <c r="A66" s="48"/>
      <c r="B66" s="4" t="s">
        <v>151</v>
      </c>
      <c r="C66" s="4">
        <v>2601032</v>
      </c>
      <c r="D66" s="4" t="s">
        <v>134</v>
      </c>
      <c r="E66" s="5">
        <v>3987</v>
      </c>
      <c r="F66" s="19" t="s">
        <v>98</v>
      </c>
      <c r="G66" s="21">
        <v>1</v>
      </c>
      <c r="H66" s="20">
        <v>16</v>
      </c>
      <c r="I66" s="34">
        <v>2</v>
      </c>
      <c r="J66" s="21">
        <v>24</v>
      </c>
      <c r="K66" s="21">
        <v>24</v>
      </c>
      <c r="L66" s="39">
        <v>19</v>
      </c>
      <c r="M66" s="32">
        <v>5</v>
      </c>
      <c r="N66" s="20"/>
      <c r="O66" s="20">
        <v>149</v>
      </c>
      <c r="P66" s="24">
        <v>247.5</v>
      </c>
    </row>
    <row r="67" spans="1:16" s="6" customFormat="1" x14ac:dyDescent="0.25">
      <c r="A67" s="48"/>
      <c r="B67" s="4" t="s">
        <v>151</v>
      </c>
      <c r="C67" s="4">
        <v>2601032</v>
      </c>
      <c r="D67" s="4" t="s">
        <v>134</v>
      </c>
      <c r="E67" s="5">
        <v>3986</v>
      </c>
      <c r="F67" s="4" t="s">
        <v>44</v>
      </c>
      <c r="G67" s="21">
        <v>0.5</v>
      </c>
      <c r="H67" s="20">
        <v>7</v>
      </c>
      <c r="I67" s="34">
        <v>2</v>
      </c>
      <c r="J67" s="21">
        <v>11</v>
      </c>
      <c r="K67" s="21">
        <v>11</v>
      </c>
      <c r="L67" s="39">
        <v>5</v>
      </c>
      <c r="M67" s="32">
        <v>6</v>
      </c>
      <c r="N67" s="20"/>
      <c r="O67" s="20">
        <v>138</v>
      </c>
      <c r="P67" s="24">
        <v>287.5</v>
      </c>
    </row>
    <row r="68" spans="1:16" s="6" customFormat="1" x14ac:dyDescent="0.25">
      <c r="A68" s="48"/>
      <c r="B68" s="4" t="s">
        <v>151</v>
      </c>
      <c r="C68" s="4">
        <v>2601032</v>
      </c>
      <c r="D68" s="4" t="s">
        <v>134</v>
      </c>
      <c r="E68" s="5">
        <v>2879</v>
      </c>
      <c r="F68" s="4" t="s">
        <v>95</v>
      </c>
      <c r="G68" s="21">
        <v>1</v>
      </c>
      <c r="H68" s="20">
        <v>18</v>
      </c>
      <c r="I68" s="34"/>
      <c r="J68" s="21">
        <v>26</v>
      </c>
      <c r="K68" s="21">
        <v>26</v>
      </c>
      <c r="L68" s="39">
        <v>16</v>
      </c>
      <c r="M68" s="32">
        <v>10</v>
      </c>
      <c r="N68" s="20"/>
      <c r="O68" s="20">
        <v>152.5</v>
      </c>
      <c r="P68" s="24">
        <v>270.25</v>
      </c>
    </row>
    <row r="69" spans="1:16" s="6" customFormat="1" x14ac:dyDescent="0.25">
      <c r="A69" s="48">
        <v>23</v>
      </c>
      <c r="B69" s="4" t="s">
        <v>151</v>
      </c>
      <c r="C69" s="4">
        <v>2601034</v>
      </c>
      <c r="D69" s="4" t="s">
        <v>130</v>
      </c>
      <c r="E69" s="5">
        <v>4371</v>
      </c>
      <c r="F69" s="4" t="s">
        <v>75</v>
      </c>
      <c r="G69" s="21">
        <v>0.5</v>
      </c>
      <c r="H69" s="20">
        <v>9</v>
      </c>
      <c r="I69" s="34"/>
      <c r="J69" s="21">
        <v>13</v>
      </c>
      <c r="K69" s="21">
        <v>13</v>
      </c>
      <c r="L69" s="39">
        <v>12</v>
      </c>
      <c r="M69" s="32">
        <v>1</v>
      </c>
      <c r="N69" s="20"/>
      <c r="O69" s="20">
        <v>321.5</v>
      </c>
      <c r="P69" s="24">
        <v>321.5</v>
      </c>
    </row>
    <row r="70" spans="1:16" s="6" customFormat="1" x14ac:dyDescent="0.25">
      <c r="A70" s="48"/>
      <c r="B70" s="4" t="s">
        <v>151</v>
      </c>
      <c r="C70" s="4">
        <v>2601034</v>
      </c>
      <c r="D70" s="4" t="s">
        <v>130</v>
      </c>
      <c r="E70" s="5">
        <v>4372</v>
      </c>
      <c r="F70" s="4" t="s">
        <v>76</v>
      </c>
      <c r="G70" s="21">
        <v>0.5</v>
      </c>
      <c r="H70" s="20">
        <v>9</v>
      </c>
      <c r="I70" s="34"/>
      <c r="J70" s="21">
        <v>13</v>
      </c>
      <c r="K70" s="21">
        <v>13</v>
      </c>
      <c r="L70" s="39">
        <v>13</v>
      </c>
      <c r="M70" s="32"/>
      <c r="N70" s="20"/>
      <c r="O70" s="20">
        <v>0</v>
      </c>
      <c r="P70" s="24">
        <v>0</v>
      </c>
    </row>
    <row r="71" spans="1:16" s="6" customFormat="1" x14ac:dyDescent="0.25">
      <c r="A71" s="48"/>
      <c r="B71" s="4" t="s">
        <v>151</v>
      </c>
      <c r="C71" s="4">
        <v>2601034</v>
      </c>
      <c r="D71" s="4" t="s">
        <v>130</v>
      </c>
      <c r="E71" s="5">
        <v>1881</v>
      </c>
      <c r="F71" s="4" t="s">
        <v>78</v>
      </c>
      <c r="G71" s="21">
        <v>1</v>
      </c>
      <c r="H71" s="20">
        <v>17</v>
      </c>
      <c r="I71" s="34">
        <v>1</v>
      </c>
      <c r="J71" s="21">
        <v>25</v>
      </c>
      <c r="K71" s="21">
        <v>25</v>
      </c>
      <c r="L71" s="39">
        <v>21</v>
      </c>
      <c r="M71" s="32">
        <v>4</v>
      </c>
      <c r="N71" s="20"/>
      <c r="O71" s="20">
        <v>276</v>
      </c>
      <c r="P71" s="24">
        <v>300.5</v>
      </c>
    </row>
    <row r="72" spans="1:16" s="6" customFormat="1" x14ac:dyDescent="0.25">
      <c r="A72" s="48"/>
      <c r="B72" s="4" t="s">
        <v>151</v>
      </c>
      <c r="C72" s="4">
        <v>2601034</v>
      </c>
      <c r="D72" s="4" t="s">
        <v>130</v>
      </c>
      <c r="E72" s="5">
        <v>1953</v>
      </c>
      <c r="F72" s="4" t="s">
        <v>77</v>
      </c>
      <c r="G72" s="21">
        <v>1</v>
      </c>
      <c r="H72" s="20">
        <v>12</v>
      </c>
      <c r="I72" s="34"/>
      <c r="J72" s="21">
        <v>26</v>
      </c>
      <c r="K72" s="21">
        <v>26</v>
      </c>
      <c r="L72" s="39">
        <v>9</v>
      </c>
      <c r="M72" s="32">
        <v>17</v>
      </c>
      <c r="N72" s="20"/>
      <c r="O72" s="20">
        <v>254</v>
      </c>
      <c r="P72" s="24">
        <v>290</v>
      </c>
    </row>
    <row r="73" spans="1:16" s="6" customFormat="1" x14ac:dyDescent="0.25">
      <c r="A73" s="48"/>
      <c r="B73" s="4" t="s">
        <v>151</v>
      </c>
      <c r="C73" s="4">
        <v>2601034</v>
      </c>
      <c r="D73" s="4" t="s">
        <v>130</v>
      </c>
      <c r="E73" s="5">
        <v>1989</v>
      </c>
      <c r="F73" s="4" t="s">
        <v>73</v>
      </c>
      <c r="G73" s="21">
        <v>0.5</v>
      </c>
      <c r="H73" s="20">
        <v>9</v>
      </c>
      <c r="I73" s="34"/>
      <c r="J73" s="21">
        <v>13</v>
      </c>
      <c r="K73" s="21">
        <v>13</v>
      </c>
      <c r="L73" s="39">
        <v>10</v>
      </c>
      <c r="M73" s="32">
        <v>3</v>
      </c>
      <c r="N73" s="20"/>
      <c r="O73" s="20">
        <v>288.5</v>
      </c>
      <c r="P73" s="24">
        <v>371.5</v>
      </c>
    </row>
    <row r="74" spans="1:16" s="6" customFormat="1" x14ac:dyDescent="0.25">
      <c r="A74" s="48"/>
      <c r="B74" s="4" t="s">
        <v>151</v>
      </c>
      <c r="C74" s="4">
        <v>2601034</v>
      </c>
      <c r="D74" s="4" t="s">
        <v>130</v>
      </c>
      <c r="E74" s="5">
        <v>1947</v>
      </c>
      <c r="F74" s="4" t="s">
        <v>79</v>
      </c>
      <c r="G74" s="21">
        <v>1</v>
      </c>
      <c r="H74" s="20">
        <v>12</v>
      </c>
      <c r="I74" s="34"/>
      <c r="J74" s="21">
        <v>26</v>
      </c>
      <c r="K74" s="21">
        <v>26</v>
      </c>
      <c r="L74" s="39">
        <v>22</v>
      </c>
      <c r="M74" s="32">
        <v>4</v>
      </c>
      <c r="N74" s="20"/>
      <c r="O74" s="20">
        <v>290.5</v>
      </c>
      <c r="P74" s="24">
        <v>336.5</v>
      </c>
    </row>
    <row r="75" spans="1:16" s="6" customFormat="1" x14ac:dyDescent="0.25">
      <c r="A75" s="48"/>
      <c r="B75" s="4" t="s">
        <v>151</v>
      </c>
      <c r="C75" s="4">
        <v>2601034</v>
      </c>
      <c r="D75" s="4" t="s">
        <v>130</v>
      </c>
      <c r="E75" s="5">
        <v>1963</v>
      </c>
      <c r="F75" s="4" t="s">
        <v>74</v>
      </c>
      <c r="G75" s="21">
        <v>0.5</v>
      </c>
      <c r="H75" s="20">
        <v>9</v>
      </c>
      <c r="I75" s="34"/>
      <c r="J75" s="21">
        <v>13</v>
      </c>
      <c r="K75" s="21">
        <v>13</v>
      </c>
      <c r="L75" s="39">
        <v>2</v>
      </c>
      <c r="M75" s="32">
        <v>11</v>
      </c>
      <c r="N75" s="20"/>
      <c r="O75" s="20">
        <v>234.5</v>
      </c>
      <c r="P75" s="24">
        <v>290</v>
      </c>
    </row>
    <row r="76" spans="1:16" s="6" customFormat="1" x14ac:dyDescent="0.25">
      <c r="A76" s="48">
        <v>24</v>
      </c>
      <c r="B76" s="4" t="s">
        <v>151</v>
      </c>
      <c r="C76" s="4">
        <v>2601035</v>
      </c>
      <c r="D76" s="4" t="s">
        <v>131</v>
      </c>
      <c r="E76" s="5">
        <v>1748</v>
      </c>
      <c r="F76" s="4" t="s">
        <v>81</v>
      </c>
      <c r="G76" s="21">
        <v>1</v>
      </c>
      <c r="H76" s="20">
        <v>18</v>
      </c>
      <c r="I76" s="34"/>
      <c r="J76" s="21">
        <v>26</v>
      </c>
      <c r="K76" s="21">
        <v>15</v>
      </c>
      <c r="L76" s="39">
        <v>13</v>
      </c>
      <c r="M76" s="32">
        <v>1</v>
      </c>
      <c r="N76" s="20">
        <v>12</v>
      </c>
      <c r="O76" s="20">
        <v>109</v>
      </c>
      <c r="P76" s="24">
        <v>109</v>
      </c>
    </row>
    <row r="77" spans="1:16" s="6" customFormat="1" x14ac:dyDescent="0.25">
      <c r="A77" s="48"/>
      <c r="B77" s="4" t="s">
        <v>151</v>
      </c>
      <c r="C77" s="4">
        <v>2601035</v>
      </c>
      <c r="D77" s="4" t="s">
        <v>131</v>
      </c>
      <c r="E77" s="5">
        <v>1768</v>
      </c>
      <c r="F77" s="4" t="s">
        <v>82</v>
      </c>
      <c r="G77" s="21">
        <v>1</v>
      </c>
      <c r="H77" s="20">
        <v>10</v>
      </c>
      <c r="I77" s="34">
        <v>2</v>
      </c>
      <c r="J77" s="21">
        <v>24</v>
      </c>
      <c r="K77" s="21">
        <v>7</v>
      </c>
      <c r="L77" s="39">
        <v>7</v>
      </c>
      <c r="M77" s="32"/>
      <c r="N77" s="20">
        <v>17</v>
      </c>
      <c r="O77" s="20">
        <v>0</v>
      </c>
      <c r="P77" s="24">
        <v>0</v>
      </c>
    </row>
    <row r="78" spans="1:16" s="6" customFormat="1" x14ac:dyDescent="0.25">
      <c r="A78" s="48"/>
      <c r="B78" s="4" t="s">
        <v>151</v>
      </c>
      <c r="C78" s="4">
        <v>2601035</v>
      </c>
      <c r="D78" s="4" t="s">
        <v>131</v>
      </c>
      <c r="E78" s="5">
        <v>1772</v>
      </c>
      <c r="F78" s="4" t="s">
        <v>83</v>
      </c>
      <c r="G78" s="21">
        <v>1</v>
      </c>
      <c r="H78" s="20">
        <v>18</v>
      </c>
      <c r="I78" s="34"/>
      <c r="J78" s="21">
        <v>26</v>
      </c>
      <c r="K78" s="21">
        <v>26</v>
      </c>
      <c r="L78" s="39">
        <v>21</v>
      </c>
      <c r="M78" s="32">
        <v>5</v>
      </c>
      <c r="N78" s="20"/>
      <c r="O78" s="20">
        <v>82</v>
      </c>
      <c r="P78" s="24">
        <v>246</v>
      </c>
    </row>
    <row r="79" spans="1:16" s="6" customFormat="1" x14ac:dyDescent="0.25">
      <c r="A79" s="48">
        <v>25</v>
      </c>
      <c r="B79" s="4" t="s">
        <v>151</v>
      </c>
      <c r="C79" s="4">
        <v>2601036</v>
      </c>
      <c r="D79" s="4" t="s">
        <v>132</v>
      </c>
      <c r="E79" s="5">
        <v>4540</v>
      </c>
      <c r="F79" s="4" t="s">
        <v>88</v>
      </c>
      <c r="G79" s="21">
        <v>1</v>
      </c>
      <c r="H79" s="20">
        <v>18</v>
      </c>
      <c r="I79" s="34"/>
      <c r="J79" s="21">
        <v>26</v>
      </c>
      <c r="K79" s="21">
        <v>8</v>
      </c>
      <c r="L79" s="39">
        <v>4</v>
      </c>
      <c r="M79" s="32">
        <v>2</v>
      </c>
      <c r="N79" s="20">
        <v>20</v>
      </c>
      <c r="O79" s="20">
        <v>162</v>
      </c>
      <c r="P79" s="24">
        <v>231</v>
      </c>
    </row>
    <row r="80" spans="1:16" s="6" customFormat="1" x14ac:dyDescent="0.25">
      <c r="A80" s="48"/>
      <c r="B80" s="4" t="s">
        <v>151</v>
      </c>
      <c r="C80" s="4">
        <v>2601036</v>
      </c>
      <c r="D80" s="4" t="s">
        <v>132</v>
      </c>
      <c r="E80" s="5">
        <v>1837</v>
      </c>
      <c r="F80" s="4" t="s">
        <v>85</v>
      </c>
      <c r="G80" s="21">
        <v>0.5</v>
      </c>
      <c r="H80" s="20">
        <v>9</v>
      </c>
      <c r="I80" s="34"/>
      <c r="J80" s="21">
        <v>13</v>
      </c>
      <c r="K80" s="21">
        <v>13</v>
      </c>
      <c r="L80" s="39">
        <v>9</v>
      </c>
      <c r="M80" s="32">
        <v>1</v>
      </c>
      <c r="N80" s="20">
        <v>3</v>
      </c>
      <c r="O80" s="20">
        <v>208.5</v>
      </c>
      <c r="P80" s="24">
        <v>208.5</v>
      </c>
    </row>
    <row r="81" spans="1:17" s="6" customFormat="1" x14ac:dyDescent="0.25">
      <c r="A81" s="48"/>
      <c r="B81" s="4" t="s">
        <v>151</v>
      </c>
      <c r="C81" s="4">
        <v>2601036</v>
      </c>
      <c r="D81" s="4" t="s">
        <v>132</v>
      </c>
      <c r="E81" s="5">
        <v>2890</v>
      </c>
      <c r="F81" s="4" t="s">
        <v>86</v>
      </c>
      <c r="G81" s="21">
        <v>0.5</v>
      </c>
      <c r="H81" s="20">
        <v>9</v>
      </c>
      <c r="I81" s="34"/>
      <c r="J81" s="21">
        <v>13</v>
      </c>
      <c r="K81" s="21">
        <v>13</v>
      </c>
      <c r="L81" s="39">
        <v>10</v>
      </c>
      <c r="M81" s="32">
        <v>2</v>
      </c>
      <c r="N81" s="20">
        <v>1</v>
      </c>
      <c r="O81" s="20">
        <v>209</v>
      </c>
      <c r="P81" s="24">
        <v>246.5</v>
      </c>
    </row>
    <row r="82" spans="1:17" s="6" customFormat="1" ht="45" x14ac:dyDescent="0.25">
      <c r="A82" s="48"/>
      <c r="B82" s="4" t="s">
        <v>151</v>
      </c>
      <c r="C82" s="4">
        <v>2601036</v>
      </c>
      <c r="D82" s="4" t="s">
        <v>132</v>
      </c>
      <c r="E82" s="5">
        <v>2893</v>
      </c>
      <c r="F82" s="19" t="s">
        <v>89</v>
      </c>
      <c r="G82" s="21">
        <v>1</v>
      </c>
      <c r="H82" s="20">
        <v>12</v>
      </c>
      <c r="I82" s="34"/>
      <c r="J82" s="21">
        <v>26</v>
      </c>
      <c r="K82" s="21">
        <v>26</v>
      </c>
      <c r="L82" s="39">
        <v>23</v>
      </c>
      <c r="M82" s="32">
        <v>2</v>
      </c>
      <c r="N82" s="20">
        <v>1</v>
      </c>
      <c r="O82" s="20">
        <v>60</v>
      </c>
      <c r="P82" s="24">
        <v>219</v>
      </c>
    </row>
    <row r="83" spans="1:17" s="6" customFormat="1" x14ac:dyDescent="0.25">
      <c r="A83" s="48"/>
      <c r="B83" s="4" t="s">
        <v>151</v>
      </c>
      <c r="C83" s="4">
        <v>2601036</v>
      </c>
      <c r="D83" s="4" t="s">
        <v>132</v>
      </c>
      <c r="E83" s="5">
        <v>3386</v>
      </c>
      <c r="F83" s="4" t="s">
        <v>87</v>
      </c>
      <c r="G83" s="21">
        <v>1</v>
      </c>
      <c r="H83" s="20">
        <v>18</v>
      </c>
      <c r="I83" s="34"/>
      <c r="J83" s="21">
        <v>26</v>
      </c>
      <c r="K83" s="21">
        <v>20</v>
      </c>
      <c r="L83" s="39">
        <v>17</v>
      </c>
      <c r="M83" s="32">
        <v>3</v>
      </c>
      <c r="N83" s="20">
        <v>6</v>
      </c>
      <c r="O83" s="20">
        <v>164.5</v>
      </c>
      <c r="P83" s="24">
        <v>237</v>
      </c>
    </row>
    <row r="84" spans="1:17" s="6" customFormat="1" x14ac:dyDescent="0.25">
      <c r="A84" s="48">
        <v>26</v>
      </c>
      <c r="B84" s="4" t="s">
        <v>151</v>
      </c>
      <c r="C84" s="4">
        <v>2601025</v>
      </c>
      <c r="D84" s="4" t="s">
        <v>135</v>
      </c>
      <c r="E84" s="5">
        <v>1539</v>
      </c>
      <c r="F84" s="4" t="s">
        <v>47</v>
      </c>
      <c r="G84" s="21">
        <v>1</v>
      </c>
      <c r="H84" s="20">
        <v>18</v>
      </c>
      <c r="I84" s="34"/>
      <c r="J84" s="21">
        <v>26</v>
      </c>
      <c r="K84" s="21">
        <v>26</v>
      </c>
      <c r="L84" s="39">
        <v>18</v>
      </c>
      <c r="M84" s="32">
        <v>8</v>
      </c>
      <c r="N84" s="20"/>
      <c r="O84" s="20">
        <v>212</v>
      </c>
      <c r="P84" s="24">
        <v>290.5</v>
      </c>
    </row>
    <row r="85" spans="1:17" s="6" customFormat="1" x14ac:dyDescent="0.25">
      <c r="A85" s="48">
        <v>27</v>
      </c>
      <c r="B85" s="4" t="s">
        <v>151</v>
      </c>
      <c r="C85" s="4">
        <v>2601026</v>
      </c>
      <c r="D85" s="4" t="s">
        <v>136</v>
      </c>
      <c r="E85" s="5">
        <v>1453</v>
      </c>
      <c r="F85" s="4" t="s">
        <v>28</v>
      </c>
      <c r="G85" s="21">
        <v>1</v>
      </c>
      <c r="H85" s="20">
        <v>15</v>
      </c>
      <c r="I85" s="34">
        <v>3</v>
      </c>
      <c r="J85" s="21">
        <v>23</v>
      </c>
      <c r="K85" s="21">
        <v>23</v>
      </c>
      <c r="L85" s="39">
        <v>14</v>
      </c>
      <c r="M85" s="32">
        <v>9</v>
      </c>
      <c r="N85" s="20"/>
      <c r="O85" s="20">
        <v>159</v>
      </c>
      <c r="P85" s="24">
        <v>323</v>
      </c>
    </row>
    <row r="86" spans="1:17" ht="15.75" thickBot="1" x14ac:dyDescent="0.3">
      <c r="A86" s="49"/>
      <c r="B86" s="23"/>
      <c r="C86" s="23"/>
      <c r="D86" s="23"/>
      <c r="E86" s="23"/>
      <c r="F86" s="23"/>
      <c r="G86" s="50">
        <f>SUM(G6:G85)</f>
        <v>76</v>
      </c>
      <c r="H86" s="50"/>
      <c r="I86" s="50">
        <f>SUM(I6:I85)</f>
        <v>15</v>
      </c>
      <c r="J86" s="50"/>
      <c r="K86" s="50"/>
      <c r="L86" s="51">
        <f>SUM(L6:L85)</f>
        <v>1409</v>
      </c>
      <c r="M86" s="50">
        <f>SUM(M6:M85)</f>
        <v>267</v>
      </c>
      <c r="N86" s="50">
        <f>SUM(N6:N85)</f>
        <v>285</v>
      </c>
      <c r="O86" s="50"/>
      <c r="P86" s="52"/>
      <c r="Q86" s="54"/>
    </row>
    <row r="92" spans="1:17" x14ac:dyDescent="0.25">
      <c r="M92" s="53"/>
    </row>
  </sheetData>
  <mergeCells count="13">
    <mergeCell ref="A1:P1"/>
    <mergeCell ref="J4:J5"/>
    <mergeCell ref="M4:P4"/>
    <mergeCell ref="A2:P2"/>
    <mergeCell ref="A3:P3"/>
    <mergeCell ref="I4:I5"/>
    <mergeCell ref="A4:A5"/>
    <mergeCell ref="B4:B5"/>
    <mergeCell ref="C4:D4"/>
    <mergeCell ref="E4:F4"/>
    <mergeCell ref="G4:G5"/>
    <mergeCell ref="H4:H5"/>
    <mergeCell ref="K4:L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Q85"/>
  <sheetViews>
    <sheetView workbookViewId="0">
      <selection activeCell="C17" sqref="C17"/>
    </sheetView>
  </sheetViews>
  <sheetFormatPr defaultColWidth="9.140625" defaultRowHeight="15" x14ac:dyDescent="0.25"/>
  <cols>
    <col min="1" max="1" width="19.28515625" style="9" customWidth="1"/>
    <col min="2" max="2" width="9" style="9" bestFit="1" customWidth="1"/>
    <col min="3" max="3" width="57" style="9" customWidth="1"/>
    <col min="4" max="4" width="5" style="9" bestFit="1" customWidth="1"/>
    <col min="5" max="5" width="46.5703125" style="9" customWidth="1"/>
    <col min="6" max="6" width="7.42578125" style="9" customWidth="1"/>
    <col min="7" max="7" width="8" style="16" bestFit="1" customWidth="1"/>
    <col min="8" max="9" width="8" style="9" bestFit="1" customWidth="1"/>
    <col min="10" max="10" width="8" style="17" bestFit="1" customWidth="1"/>
    <col min="11" max="12" width="8" style="9" bestFit="1" customWidth="1"/>
    <col min="13" max="693" width="9.140625" style="18"/>
    <col min="694" max="16384" width="9.140625" style="9"/>
  </cols>
  <sheetData>
    <row r="1" spans="1:693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G1" s="9"/>
      <c r="LH1" s="9"/>
      <c r="LI1" s="9"/>
      <c r="LJ1" s="9"/>
      <c r="LK1" s="9"/>
      <c r="LL1" s="9"/>
      <c r="LM1" s="9"/>
      <c r="LN1" s="9"/>
      <c r="LO1" s="9"/>
      <c r="LP1" s="9"/>
      <c r="LQ1" s="9"/>
      <c r="LR1" s="9"/>
      <c r="LS1" s="9"/>
      <c r="LT1" s="9"/>
      <c r="LU1" s="9"/>
      <c r="LV1" s="9"/>
      <c r="LW1" s="9"/>
      <c r="LX1" s="9"/>
      <c r="LY1" s="9"/>
      <c r="LZ1" s="9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  <c r="RX1" s="9"/>
      <c r="RY1" s="9"/>
      <c r="RZ1" s="9"/>
      <c r="SA1" s="9"/>
      <c r="SB1" s="9"/>
      <c r="SC1" s="9"/>
      <c r="SD1" s="9"/>
      <c r="SE1" s="9"/>
      <c r="SF1" s="9"/>
      <c r="SG1" s="9"/>
      <c r="SH1" s="9"/>
      <c r="SI1" s="9"/>
      <c r="SJ1" s="9"/>
      <c r="SK1" s="9"/>
      <c r="SL1" s="9"/>
      <c r="SM1" s="9"/>
      <c r="SN1" s="9"/>
      <c r="SO1" s="9"/>
      <c r="SP1" s="9"/>
      <c r="SQ1" s="9"/>
      <c r="SR1" s="9"/>
      <c r="SS1" s="9"/>
      <c r="ST1" s="9"/>
      <c r="SU1" s="9"/>
      <c r="SV1" s="9"/>
      <c r="SW1" s="9"/>
      <c r="SX1" s="9"/>
      <c r="SY1" s="9"/>
      <c r="SZ1" s="9"/>
      <c r="TA1" s="9"/>
      <c r="TB1" s="9"/>
      <c r="TC1" s="9"/>
      <c r="TD1" s="9"/>
      <c r="TE1" s="9"/>
      <c r="TF1" s="9"/>
      <c r="TG1" s="9"/>
      <c r="TH1" s="9"/>
      <c r="TI1" s="9"/>
      <c r="TJ1" s="9"/>
      <c r="TK1" s="9"/>
      <c r="TL1" s="9"/>
      <c r="TM1" s="9"/>
      <c r="TN1" s="9"/>
      <c r="TO1" s="9"/>
      <c r="TP1" s="9"/>
      <c r="TQ1" s="9"/>
      <c r="TR1" s="9"/>
      <c r="TS1" s="9"/>
      <c r="TT1" s="9"/>
      <c r="TU1" s="9"/>
      <c r="TV1" s="9"/>
      <c r="TW1" s="9"/>
      <c r="TX1" s="9"/>
      <c r="TY1" s="9"/>
      <c r="TZ1" s="9"/>
      <c r="UA1" s="9"/>
      <c r="UB1" s="9"/>
      <c r="UC1" s="9"/>
      <c r="UD1" s="9"/>
      <c r="UE1" s="9"/>
      <c r="UF1" s="9"/>
      <c r="UG1" s="9"/>
      <c r="UH1" s="9"/>
      <c r="UI1" s="9"/>
      <c r="UJ1" s="9"/>
      <c r="UK1" s="9"/>
      <c r="UL1" s="9"/>
      <c r="UM1" s="9"/>
      <c r="UN1" s="9"/>
      <c r="UO1" s="9"/>
      <c r="UP1" s="9"/>
      <c r="UQ1" s="9"/>
      <c r="UR1" s="9"/>
      <c r="US1" s="9"/>
      <c r="UT1" s="9"/>
      <c r="UU1" s="9"/>
      <c r="UV1" s="9"/>
      <c r="UW1" s="9"/>
      <c r="UX1" s="9"/>
      <c r="UY1" s="9"/>
      <c r="UZ1" s="9"/>
      <c r="VA1" s="9"/>
      <c r="VB1" s="9"/>
      <c r="VC1" s="9"/>
      <c r="VD1" s="9"/>
      <c r="VE1" s="9"/>
      <c r="VF1" s="9"/>
      <c r="VG1" s="9"/>
      <c r="VH1" s="9"/>
      <c r="VI1" s="9"/>
      <c r="VJ1" s="9"/>
      <c r="VK1" s="9"/>
      <c r="VL1" s="9"/>
      <c r="VM1" s="9"/>
      <c r="VN1" s="9"/>
      <c r="VO1" s="9"/>
      <c r="VP1" s="9"/>
      <c r="VQ1" s="9"/>
      <c r="VR1" s="9"/>
      <c r="VS1" s="9"/>
      <c r="VT1" s="9"/>
      <c r="VU1" s="9"/>
      <c r="VV1" s="9"/>
      <c r="VW1" s="9"/>
      <c r="VX1" s="9"/>
      <c r="VY1" s="9"/>
      <c r="VZ1" s="9"/>
      <c r="WA1" s="9"/>
      <c r="WB1" s="9"/>
      <c r="WC1" s="9"/>
      <c r="WD1" s="9"/>
      <c r="WE1" s="9"/>
      <c r="WF1" s="9"/>
      <c r="WG1" s="9"/>
      <c r="WH1" s="9"/>
      <c r="WI1" s="9"/>
      <c r="WJ1" s="9"/>
      <c r="WK1" s="9"/>
      <c r="WL1" s="9"/>
      <c r="WM1" s="9"/>
      <c r="WN1" s="9"/>
      <c r="WO1" s="9"/>
      <c r="WP1" s="9"/>
      <c r="WQ1" s="9"/>
      <c r="WR1" s="9"/>
      <c r="WS1" s="9"/>
      <c r="WT1" s="9"/>
      <c r="WU1" s="9"/>
      <c r="WV1" s="9"/>
      <c r="WW1" s="9"/>
      <c r="WX1" s="9"/>
      <c r="WY1" s="9"/>
      <c r="WZ1" s="9"/>
      <c r="XA1" s="9"/>
      <c r="XB1" s="9"/>
      <c r="XC1" s="9"/>
      <c r="XD1" s="9"/>
      <c r="XE1" s="9"/>
      <c r="XF1" s="9"/>
      <c r="XG1" s="9"/>
      <c r="XH1" s="9"/>
      <c r="XI1" s="9"/>
      <c r="XJ1" s="9"/>
      <c r="XK1" s="9"/>
      <c r="XL1" s="9"/>
      <c r="XM1" s="9"/>
      <c r="XN1" s="9"/>
      <c r="XO1" s="9"/>
      <c r="XP1" s="9"/>
      <c r="XQ1" s="9"/>
      <c r="XR1" s="9"/>
      <c r="XS1" s="9"/>
      <c r="XT1" s="9"/>
      <c r="XU1" s="9"/>
      <c r="XV1" s="9"/>
      <c r="XW1" s="9"/>
      <c r="XX1" s="9"/>
      <c r="XY1" s="9"/>
      <c r="XZ1" s="9"/>
      <c r="YA1" s="9"/>
      <c r="YB1" s="9"/>
      <c r="YC1" s="9"/>
      <c r="YD1" s="9"/>
      <c r="YE1" s="9"/>
      <c r="YF1" s="9"/>
      <c r="YG1" s="9"/>
      <c r="YH1" s="9"/>
      <c r="YI1" s="9"/>
      <c r="YJ1" s="9"/>
      <c r="YK1" s="9"/>
      <c r="YL1" s="9"/>
      <c r="YM1" s="9"/>
      <c r="YN1" s="9"/>
      <c r="YO1" s="9"/>
      <c r="YP1" s="9"/>
      <c r="YQ1" s="9"/>
      <c r="YR1" s="9"/>
      <c r="YS1" s="9"/>
      <c r="YT1" s="9"/>
      <c r="YU1" s="9"/>
      <c r="YV1" s="9"/>
      <c r="YW1" s="9"/>
      <c r="YX1" s="9"/>
      <c r="YY1" s="9"/>
      <c r="YZ1" s="9"/>
      <c r="ZA1" s="9"/>
      <c r="ZB1" s="9"/>
      <c r="ZC1" s="9"/>
      <c r="ZD1" s="9"/>
      <c r="ZE1" s="9"/>
      <c r="ZF1" s="9"/>
      <c r="ZG1" s="9"/>
      <c r="ZH1" s="9"/>
      <c r="ZI1" s="9"/>
      <c r="ZJ1" s="9"/>
      <c r="ZK1" s="9"/>
      <c r="ZL1" s="9"/>
      <c r="ZM1" s="9"/>
      <c r="ZN1" s="9"/>
      <c r="ZO1" s="9"/>
      <c r="ZP1" s="9"/>
      <c r="ZQ1" s="9"/>
    </row>
    <row r="2" spans="1:693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  <c r="IV2" s="9"/>
      <c r="IW2" s="9"/>
      <c r="IX2" s="9"/>
      <c r="IY2" s="9"/>
      <c r="IZ2" s="9"/>
      <c r="JA2" s="9"/>
      <c r="JB2" s="9"/>
      <c r="JC2" s="9"/>
      <c r="JD2" s="9"/>
      <c r="JE2" s="9"/>
      <c r="JF2" s="9"/>
      <c r="JG2" s="9"/>
      <c r="JH2" s="9"/>
      <c r="JI2" s="9"/>
      <c r="JJ2" s="9"/>
      <c r="JK2" s="9"/>
      <c r="JL2" s="9"/>
      <c r="JM2" s="9"/>
      <c r="JN2" s="9"/>
      <c r="JO2" s="9"/>
      <c r="JP2" s="9"/>
      <c r="JQ2" s="9"/>
      <c r="JR2" s="9"/>
      <c r="JS2" s="9"/>
      <c r="JT2" s="9"/>
      <c r="JU2" s="9"/>
      <c r="JV2" s="9"/>
      <c r="JW2" s="9"/>
      <c r="JX2" s="9"/>
      <c r="JY2" s="9"/>
      <c r="JZ2" s="9"/>
      <c r="KA2" s="9"/>
      <c r="KB2" s="9"/>
      <c r="KC2" s="9"/>
      <c r="KD2" s="9"/>
      <c r="KE2" s="9"/>
      <c r="KF2" s="9"/>
      <c r="KG2" s="9"/>
      <c r="KH2" s="9"/>
      <c r="KI2" s="9"/>
      <c r="KJ2" s="9"/>
      <c r="KK2" s="9"/>
      <c r="KL2" s="9"/>
      <c r="KM2" s="9"/>
      <c r="KN2" s="9"/>
      <c r="KO2" s="9"/>
      <c r="KP2" s="9"/>
      <c r="KQ2" s="9"/>
      <c r="KR2" s="9"/>
      <c r="KS2" s="9"/>
      <c r="KT2" s="9"/>
      <c r="KU2" s="9"/>
      <c r="KV2" s="9"/>
      <c r="KW2" s="9"/>
      <c r="KX2" s="9"/>
      <c r="KY2" s="9"/>
      <c r="KZ2" s="9"/>
      <c r="LA2" s="9"/>
      <c r="LB2" s="9"/>
      <c r="LC2" s="9"/>
      <c r="LD2" s="9"/>
      <c r="LE2" s="9"/>
      <c r="LF2" s="9"/>
      <c r="LG2" s="9"/>
      <c r="LH2" s="9"/>
      <c r="LI2" s="9"/>
      <c r="LJ2" s="9"/>
      <c r="LK2" s="9"/>
      <c r="LL2" s="9"/>
      <c r="LM2" s="9"/>
      <c r="LN2" s="9"/>
      <c r="LO2" s="9"/>
      <c r="LP2" s="9"/>
      <c r="LQ2" s="9"/>
      <c r="LR2" s="9"/>
      <c r="LS2" s="9"/>
      <c r="LT2" s="9"/>
      <c r="LU2" s="9"/>
      <c r="LV2" s="9"/>
      <c r="LW2" s="9"/>
      <c r="LX2" s="9"/>
      <c r="LY2" s="9"/>
      <c r="LZ2" s="9"/>
      <c r="MA2" s="9"/>
      <c r="MB2" s="9"/>
      <c r="MC2" s="9"/>
      <c r="MD2" s="9"/>
      <c r="ME2" s="9"/>
      <c r="MF2" s="9"/>
      <c r="MG2" s="9"/>
      <c r="MH2" s="9"/>
      <c r="MI2" s="9"/>
      <c r="MJ2" s="9"/>
      <c r="MK2" s="9"/>
      <c r="ML2" s="9"/>
      <c r="MM2" s="9"/>
      <c r="MN2" s="9"/>
      <c r="MO2" s="9"/>
      <c r="MP2" s="9"/>
      <c r="MQ2" s="9"/>
      <c r="MR2" s="9"/>
      <c r="MS2" s="9"/>
      <c r="MT2" s="9"/>
      <c r="MU2" s="9"/>
      <c r="MV2" s="9"/>
      <c r="MW2" s="9"/>
      <c r="MX2" s="9"/>
      <c r="MY2" s="9"/>
      <c r="MZ2" s="9"/>
      <c r="NA2" s="9"/>
      <c r="NB2" s="9"/>
      <c r="NC2" s="9"/>
      <c r="ND2" s="9"/>
      <c r="NE2" s="9"/>
      <c r="NF2" s="9"/>
      <c r="NG2" s="9"/>
      <c r="NH2" s="9"/>
      <c r="NI2" s="9"/>
      <c r="NJ2" s="9"/>
      <c r="NK2" s="9"/>
      <c r="NL2" s="9"/>
      <c r="NM2" s="9"/>
      <c r="NN2" s="9"/>
      <c r="NO2" s="9"/>
      <c r="NP2" s="9"/>
      <c r="NQ2" s="9"/>
      <c r="NR2" s="9"/>
      <c r="NS2" s="9"/>
      <c r="NT2" s="9"/>
      <c r="NU2" s="9"/>
      <c r="NV2" s="9"/>
      <c r="NW2" s="9"/>
      <c r="NX2" s="9"/>
      <c r="NY2" s="9"/>
      <c r="NZ2" s="9"/>
      <c r="OA2" s="9"/>
      <c r="OB2" s="9"/>
      <c r="OC2" s="9"/>
      <c r="OD2" s="9"/>
      <c r="OE2" s="9"/>
      <c r="OF2" s="9"/>
      <c r="OG2" s="9"/>
      <c r="OH2" s="9"/>
      <c r="OI2" s="9"/>
      <c r="OJ2" s="9"/>
      <c r="OK2" s="9"/>
      <c r="OL2" s="9"/>
      <c r="OM2" s="9"/>
      <c r="ON2" s="9"/>
      <c r="OO2" s="9"/>
      <c r="OP2" s="9"/>
      <c r="OQ2" s="9"/>
      <c r="OR2" s="9"/>
      <c r="OS2" s="9"/>
      <c r="OT2" s="9"/>
      <c r="OU2" s="9"/>
      <c r="OV2" s="9"/>
      <c r="OW2" s="9"/>
      <c r="OX2" s="9"/>
      <c r="OY2" s="9"/>
      <c r="OZ2" s="9"/>
      <c r="PA2" s="9"/>
      <c r="PB2" s="9"/>
      <c r="PC2" s="9"/>
      <c r="PD2" s="9"/>
      <c r="PE2" s="9"/>
      <c r="PF2" s="9"/>
      <c r="PG2" s="9"/>
      <c r="PH2" s="9"/>
      <c r="PI2" s="9"/>
      <c r="PJ2" s="9"/>
      <c r="PK2" s="9"/>
      <c r="PL2" s="9"/>
      <c r="PM2" s="9"/>
      <c r="PN2" s="9"/>
      <c r="PO2" s="9"/>
      <c r="PP2" s="9"/>
      <c r="PQ2" s="9"/>
      <c r="PR2" s="9"/>
      <c r="PS2" s="9"/>
      <c r="PT2" s="9"/>
      <c r="PU2" s="9"/>
      <c r="PV2" s="9"/>
      <c r="PW2" s="9"/>
      <c r="PX2" s="9"/>
      <c r="PY2" s="9"/>
      <c r="PZ2" s="9"/>
      <c r="QA2" s="9"/>
      <c r="QB2" s="9"/>
      <c r="QC2" s="9"/>
      <c r="QD2" s="9"/>
      <c r="QE2" s="9"/>
      <c r="QF2" s="9"/>
      <c r="QG2" s="9"/>
      <c r="QH2" s="9"/>
      <c r="QI2" s="9"/>
      <c r="QJ2" s="9"/>
      <c r="QK2" s="9"/>
      <c r="QL2" s="9"/>
      <c r="QM2" s="9"/>
      <c r="QN2" s="9"/>
      <c r="QO2" s="9"/>
      <c r="QP2" s="9"/>
      <c r="QQ2" s="9"/>
      <c r="QR2" s="9"/>
      <c r="QS2" s="9"/>
      <c r="QT2" s="9"/>
      <c r="QU2" s="9"/>
      <c r="QV2" s="9"/>
      <c r="QW2" s="9"/>
      <c r="QX2" s="9"/>
      <c r="QY2" s="9"/>
      <c r="QZ2" s="9"/>
      <c r="RA2" s="9"/>
      <c r="RB2" s="9"/>
      <c r="RC2" s="9"/>
      <c r="RD2" s="9"/>
      <c r="RE2" s="9"/>
      <c r="RF2" s="9"/>
      <c r="RG2" s="9"/>
      <c r="RH2" s="9"/>
      <c r="RI2" s="9"/>
      <c r="RJ2" s="9"/>
      <c r="RK2" s="9"/>
      <c r="RL2" s="9"/>
      <c r="RM2" s="9"/>
      <c r="RN2" s="9"/>
      <c r="RO2" s="9"/>
      <c r="RP2" s="9"/>
      <c r="RQ2" s="9"/>
      <c r="RR2" s="9"/>
      <c r="RS2" s="9"/>
      <c r="RT2" s="9"/>
      <c r="RU2" s="9"/>
      <c r="RV2" s="9"/>
      <c r="RW2" s="9"/>
      <c r="RX2" s="9"/>
      <c r="RY2" s="9"/>
      <c r="RZ2" s="9"/>
      <c r="SA2" s="9"/>
      <c r="SB2" s="9"/>
      <c r="SC2" s="9"/>
      <c r="SD2" s="9"/>
      <c r="SE2" s="9"/>
      <c r="SF2" s="9"/>
      <c r="SG2" s="9"/>
      <c r="SH2" s="9"/>
      <c r="SI2" s="9"/>
      <c r="SJ2" s="9"/>
      <c r="SK2" s="9"/>
      <c r="SL2" s="9"/>
      <c r="SM2" s="9"/>
      <c r="SN2" s="9"/>
      <c r="SO2" s="9"/>
      <c r="SP2" s="9"/>
      <c r="SQ2" s="9"/>
      <c r="SR2" s="9"/>
      <c r="SS2" s="9"/>
      <c r="ST2" s="9"/>
      <c r="SU2" s="9"/>
      <c r="SV2" s="9"/>
      <c r="SW2" s="9"/>
      <c r="SX2" s="9"/>
      <c r="SY2" s="9"/>
      <c r="SZ2" s="9"/>
      <c r="TA2" s="9"/>
      <c r="TB2" s="9"/>
      <c r="TC2" s="9"/>
      <c r="TD2" s="9"/>
      <c r="TE2" s="9"/>
      <c r="TF2" s="9"/>
      <c r="TG2" s="9"/>
      <c r="TH2" s="9"/>
      <c r="TI2" s="9"/>
      <c r="TJ2" s="9"/>
      <c r="TK2" s="9"/>
      <c r="TL2" s="9"/>
      <c r="TM2" s="9"/>
      <c r="TN2" s="9"/>
      <c r="TO2" s="9"/>
      <c r="TP2" s="9"/>
      <c r="TQ2" s="9"/>
      <c r="TR2" s="9"/>
      <c r="TS2" s="9"/>
      <c r="TT2" s="9"/>
      <c r="TU2" s="9"/>
      <c r="TV2" s="9"/>
      <c r="TW2" s="9"/>
      <c r="TX2" s="9"/>
      <c r="TY2" s="9"/>
      <c r="TZ2" s="9"/>
      <c r="UA2" s="9"/>
      <c r="UB2" s="9"/>
      <c r="UC2" s="9"/>
      <c r="UD2" s="9"/>
      <c r="UE2" s="9"/>
      <c r="UF2" s="9"/>
      <c r="UG2" s="9"/>
      <c r="UH2" s="9"/>
      <c r="UI2" s="9"/>
      <c r="UJ2" s="9"/>
      <c r="UK2" s="9"/>
      <c r="UL2" s="9"/>
      <c r="UM2" s="9"/>
      <c r="UN2" s="9"/>
      <c r="UO2" s="9"/>
      <c r="UP2" s="9"/>
      <c r="UQ2" s="9"/>
      <c r="UR2" s="9"/>
      <c r="US2" s="9"/>
      <c r="UT2" s="9"/>
      <c r="UU2" s="9"/>
      <c r="UV2" s="9"/>
      <c r="UW2" s="9"/>
      <c r="UX2" s="9"/>
      <c r="UY2" s="9"/>
      <c r="UZ2" s="9"/>
      <c r="VA2" s="9"/>
      <c r="VB2" s="9"/>
      <c r="VC2" s="9"/>
      <c r="VD2" s="9"/>
      <c r="VE2" s="9"/>
      <c r="VF2" s="9"/>
      <c r="VG2" s="9"/>
      <c r="VH2" s="9"/>
      <c r="VI2" s="9"/>
      <c r="VJ2" s="9"/>
      <c r="VK2" s="9"/>
      <c r="VL2" s="9"/>
      <c r="VM2" s="9"/>
      <c r="VN2" s="9"/>
      <c r="VO2" s="9"/>
      <c r="VP2" s="9"/>
      <c r="VQ2" s="9"/>
      <c r="VR2" s="9"/>
      <c r="VS2" s="9"/>
      <c r="VT2" s="9"/>
      <c r="VU2" s="9"/>
      <c r="VV2" s="9"/>
      <c r="VW2" s="9"/>
      <c r="VX2" s="9"/>
      <c r="VY2" s="9"/>
      <c r="VZ2" s="9"/>
      <c r="WA2" s="9"/>
      <c r="WB2" s="9"/>
      <c r="WC2" s="9"/>
      <c r="WD2" s="9"/>
      <c r="WE2" s="9"/>
      <c r="WF2" s="9"/>
      <c r="WG2" s="9"/>
      <c r="WH2" s="9"/>
      <c r="WI2" s="9"/>
      <c r="WJ2" s="9"/>
      <c r="WK2" s="9"/>
      <c r="WL2" s="9"/>
      <c r="WM2" s="9"/>
      <c r="WN2" s="9"/>
      <c r="WO2" s="9"/>
      <c r="WP2" s="9"/>
      <c r="WQ2" s="9"/>
      <c r="WR2" s="9"/>
      <c r="WS2" s="9"/>
      <c r="WT2" s="9"/>
      <c r="WU2" s="9"/>
      <c r="WV2" s="9"/>
      <c r="WW2" s="9"/>
      <c r="WX2" s="9"/>
      <c r="WY2" s="9"/>
      <c r="WZ2" s="9"/>
      <c r="XA2" s="9"/>
      <c r="XB2" s="9"/>
      <c r="XC2" s="9"/>
      <c r="XD2" s="9"/>
      <c r="XE2" s="9"/>
      <c r="XF2" s="9"/>
      <c r="XG2" s="9"/>
      <c r="XH2" s="9"/>
      <c r="XI2" s="9"/>
      <c r="XJ2" s="9"/>
      <c r="XK2" s="9"/>
      <c r="XL2" s="9"/>
      <c r="XM2" s="9"/>
      <c r="XN2" s="9"/>
      <c r="XO2" s="9"/>
      <c r="XP2" s="9"/>
      <c r="XQ2" s="9"/>
      <c r="XR2" s="9"/>
      <c r="XS2" s="9"/>
      <c r="XT2" s="9"/>
      <c r="XU2" s="9"/>
      <c r="XV2" s="9"/>
      <c r="XW2" s="9"/>
      <c r="XX2" s="9"/>
      <c r="XY2" s="9"/>
      <c r="XZ2" s="9"/>
      <c r="YA2" s="9"/>
      <c r="YB2" s="9"/>
      <c r="YC2" s="9"/>
      <c r="YD2" s="9"/>
      <c r="YE2" s="9"/>
      <c r="YF2" s="9"/>
      <c r="YG2" s="9"/>
      <c r="YH2" s="9"/>
      <c r="YI2" s="9"/>
      <c r="YJ2" s="9"/>
      <c r="YK2" s="9"/>
      <c r="YL2" s="9"/>
      <c r="YM2" s="9"/>
      <c r="YN2" s="9"/>
      <c r="YO2" s="9"/>
      <c r="YP2" s="9"/>
      <c r="YQ2" s="9"/>
      <c r="YR2" s="9"/>
      <c r="YS2" s="9"/>
      <c r="YT2" s="9"/>
      <c r="YU2" s="9"/>
      <c r="YV2" s="9"/>
      <c r="YW2" s="9"/>
      <c r="YX2" s="9"/>
      <c r="YY2" s="9"/>
      <c r="YZ2" s="9"/>
      <c r="ZA2" s="9"/>
      <c r="ZB2" s="9"/>
      <c r="ZC2" s="9"/>
      <c r="ZD2" s="9"/>
      <c r="ZE2" s="9"/>
      <c r="ZF2" s="9"/>
      <c r="ZG2" s="9"/>
      <c r="ZH2" s="9"/>
      <c r="ZI2" s="9"/>
      <c r="ZJ2" s="9"/>
      <c r="ZK2" s="9"/>
      <c r="ZL2" s="9"/>
      <c r="ZM2" s="9"/>
      <c r="ZN2" s="9"/>
      <c r="ZO2" s="9"/>
      <c r="ZP2" s="9"/>
      <c r="ZQ2" s="9"/>
    </row>
    <row r="3" spans="1:693" x14ac:dyDescent="0.25">
      <c r="A3" s="25" t="s">
        <v>162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  <c r="VY3" s="9"/>
      <c r="VZ3" s="9"/>
      <c r="WA3" s="9"/>
      <c r="WB3" s="9"/>
      <c r="WC3" s="9"/>
      <c r="WD3" s="9"/>
      <c r="WE3" s="9"/>
      <c r="WF3" s="9"/>
      <c r="WG3" s="9"/>
      <c r="WH3" s="9"/>
      <c r="WI3" s="9"/>
      <c r="WJ3" s="9"/>
      <c r="WK3" s="9"/>
      <c r="WL3" s="9"/>
      <c r="WM3" s="9"/>
      <c r="WN3" s="9"/>
      <c r="WO3" s="9"/>
      <c r="WP3" s="9"/>
      <c r="WQ3" s="9"/>
      <c r="WR3" s="9"/>
      <c r="WS3" s="9"/>
      <c r="WT3" s="9"/>
      <c r="WU3" s="9"/>
      <c r="WV3" s="9"/>
      <c r="WW3" s="9"/>
      <c r="WX3" s="9"/>
      <c r="WY3" s="9"/>
      <c r="WZ3" s="9"/>
      <c r="XA3" s="9"/>
      <c r="XB3" s="9"/>
      <c r="XC3" s="9"/>
      <c r="XD3" s="9"/>
      <c r="XE3" s="9"/>
      <c r="XF3" s="9"/>
      <c r="XG3" s="9"/>
      <c r="XH3" s="9"/>
      <c r="XI3" s="9"/>
      <c r="XJ3" s="9"/>
      <c r="XK3" s="9"/>
      <c r="XL3" s="9"/>
      <c r="XM3" s="9"/>
      <c r="XN3" s="9"/>
      <c r="XO3" s="9"/>
      <c r="XP3" s="9"/>
      <c r="XQ3" s="9"/>
      <c r="XR3" s="9"/>
      <c r="XS3" s="9"/>
      <c r="XT3" s="9"/>
      <c r="XU3" s="9"/>
      <c r="XV3" s="9"/>
      <c r="XW3" s="9"/>
      <c r="XX3" s="9"/>
      <c r="XY3" s="9"/>
      <c r="XZ3" s="9"/>
      <c r="YA3" s="9"/>
      <c r="YB3" s="9"/>
      <c r="YC3" s="9"/>
      <c r="YD3" s="9"/>
      <c r="YE3" s="9"/>
      <c r="YF3" s="9"/>
      <c r="YG3" s="9"/>
      <c r="YH3" s="9"/>
      <c r="YI3" s="9"/>
      <c r="YJ3" s="9"/>
      <c r="YK3" s="9"/>
      <c r="YL3" s="9"/>
      <c r="YM3" s="9"/>
      <c r="YN3" s="9"/>
      <c r="YO3" s="9"/>
      <c r="YP3" s="9"/>
      <c r="YQ3" s="9"/>
      <c r="YR3" s="9"/>
      <c r="YS3" s="9"/>
      <c r="YT3" s="9"/>
      <c r="YU3" s="9"/>
      <c r="YV3" s="9"/>
      <c r="YW3" s="9"/>
      <c r="YX3" s="9"/>
      <c r="YY3" s="9"/>
      <c r="YZ3" s="9"/>
      <c r="ZA3" s="9"/>
      <c r="ZB3" s="9"/>
      <c r="ZC3" s="9"/>
      <c r="ZD3" s="9"/>
      <c r="ZE3" s="9"/>
      <c r="ZF3" s="9"/>
      <c r="ZG3" s="9"/>
      <c r="ZH3" s="9"/>
      <c r="ZI3" s="9"/>
      <c r="ZJ3" s="9"/>
      <c r="ZK3" s="9"/>
      <c r="ZL3" s="9"/>
      <c r="ZM3" s="9"/>
      <c r="ZN3" s="9"/>
      <c r="ZO3" s="9"/>
      <c r="ZP3" s="9"/>
      <c r="ZQ3" s="9"/>
    </row>
    <row r="4" spans="1:693" x14ac:dyDescent="0.25">
      <c r="A4" s="27" t="s">
        <v>2</v>
      </c>
      <c r="B4" s="27" t="s">
        <v>3</v>
      </c>
      <c r="C4" s="27"/>
      <c r="D4" s="27" t="s">
        <v>4</v>
      </c>
      <c r="E4" s="27"/>
      <c r="F4" s="27" t="s">
        <v>5</v>
      </c>
      <c r="G4" s="27" t="s">
        <v>6</v>
      </c>
      <c r="H4" s="27"/>
      <c r="I4" s="27"/>
      <c r="J4" s="27" t="s">
        <v>7</v>
      </c>
      <c r="K4" s="27"/>
      <c r="L4" s="27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  <c r="VY4" s="9"/>
      <c r="VZ4" s="9"/>
      <c r="WA4" s="9"/>
      <c r="WB4" s="9"/>
      <c r="WC4" s="9"/>
      <c r="WD4" s="9"/>
      <c r="WE4" s="9"/>
      <c r="WF4" s="9"/>
      <c r="WG4" s="9"/>
      <c r="WH4" s="9"/>
      <c r="WI4" s="9"/>
      <c r="WJ4" s="9"/>
      <c r="WK4" s="9"/>
      <c r="WL4" s="9"/>
      <c r="WM4" s="9"/>
      <c r="WN4" s="9"/>
      <c r="WO4" s="9"/>
      <c r="WP4" s="9"/>
      <c r="WQ4" s="9"/>
      <c r="WR4" s="9"/>
      <c r="WS4" s="9"/>
      <c r="WT4" s="9"/>
      <c r="WU4" s="9"/>
      <c r="WV4" s="9"/>
      <c r="WW4" s="9"/>
      <c r="WX4" s="9"/>
      <c r="WY4" s="9"/>
      <c r="WZ4" s="9"/>
      <c r="XA4" s="9"/>
      <c r="XB4" s="9"/>
      <c r="XC4" s="9"/>
      <c r="XD4" s="9"/>
      <c r="XE4" s="9"/>
      <c r="XF4" s="9"/>
      <c r="XG4" s="9"/>
      <c r="XH4" s="9"/>
      <c r="XI4" s="9"/>
      <c r="XJ4" s="9"/>
      <c r="XK4" s="9"/>
      <c r="XL4" s="9"/>
      <c r="XM4" s="9"/>
      <c r="XN4" s="9"/>
      <c r="XO4" s="9"/>
      <c r="XP4" s="9"/>
      <c r="XQ4" s="9"/>
      <c r="XR4" s="9"/>
      <c r="XS4" s="9"/>
      <c r="XT4" s="9"/>
      <c r="XU4" s="9"/>
      <c r="XV4" s="9"/>
      <c r="XW4" s="9"/>
      <c r="XX4" s="9"/>
      <c r="XY4" s="9"/>
      <c r="XZ4" s="9"/>
      <c r="YA4" s="9"/>
      <c r="YB4" s="9"/>
      <c r="YC4" s="9"/>
      <c r="YD4" s="9"/>
      <c r="YE4" s="9"/>
      <c r="YF4" s="9"/>
      <c r="YG4" s="9"/>
      <c r="YH4" s="9"/>
      <c r="YI4" s="9"/>
      <c r="YJ4" s="9"/>
      <c r="YK4" s="9"/>
      <c r="YL4" s="9"/>
      <c r="YM4" s="9"/>
      <c r="YN4" s="9"/>
      <c r="YO4" s="9"/>
      <c r="YP4" s="9"/>
      <c r="YQ4" s="9"/>
      <c r="YR4" s="9"/>
      <c r="YS4" s="9"/>
      <c r="YT4" s="9"/>
      <c r="YU4" s="9"/>
      <c r="YV4" s="9"/>
      <c r="YW4" s="9"/>
      <c r="YX4" s="9"/>
      <c r="YY4" s="9"/>
      <c r="YZ4" s="9"/>
      <c r="ZA4" s="9"/>
      <c r="ZB4" s="9"/>
      <c r="ZC4" s="9"/>
      <c r="ZD4" s="9"/>
      <c r="ZE4" s="9"/>
      <c r="ZF4" s="9"/>
      <c r="ZG4" s="9"/>
      <c r="ZH4" s="9"/>
      <c r="ZI4" s="9"/>
      <c r="ZJ4" s="9"/>
      <c r="ZK4" s="9"/>
      <c r="ZL4" s="9"/>
      <c r="ZM4" s="9"/>
      <c r="ZN4" s="9"/>
      <c r="ZO4" s="9"/>
      <c r="ZP4" s="9"/>
      <c r="ZQ4" s="9"/>
    </row>
    <row r="5" spans="1:693" x14ac:dyDescent="0.25">
      <c r="A5" s="27"/>
      <c r="B5" s="10" t="s">
        <v>8</v>
      </c>
      <c r="C5" s="10" t="s">
        <v>9</v>
      </c>
      <c r="D5" s="10" t="s">
        <v>8</v>
      </c>
      <c r="E5" s="10" t="s">
        <v>9</v>
      </c>
      <c r="F5" s="27"/>
      <c r="G5" s="11" t="s">
        <v>10</v>
      </c>
      <c r="H5" s="10" t="s">
        <v>11</v>
      </c>
      <c r="I5" s="10" t="s">
        <v>12</v>
      </c>
      <c r="J5" s="12" t="s">
        <v>10</v>
      </c>
      <c r="K5" s="10" t="s">
        <v>11</v>
      </c>
      <c r="L5" s="10" t="s">
        <v>12</v>
      </c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</row>
    <row r="6" spans="1:693" x14ac:dyDescent="0.25">
      <c r="A6" s="14" t="s">
        <v>59</v>
      </c>
      <c r="B6" s="14">
        <v>2601029</v>
      </c>
      <c r="C6" s="14" t="s">
        <v>67</v>
      </c>
      <c r="D6" s="5">
        <v>2300</v>
      </c>
      <c r="E6" s="14" t="s">
        <v>71</v>
      </c>
      <c r="F6" s="5">
        <v>1</v>
      </c>
      <c r="G6" s="7">
        <v>343.25</v>
      </c>
      <c r="H6" s="5">
        <v>343.25</v>
      </c>
      <c r="I6" s="5">
        <v>377.75</v>
      </c>
      <c r="J6" s="8">
        <v>493.5</v>
      </c>
      <c r="K6" s="5">
        <v>476</v>
      </c>
      <c r="L6" s="5">
        <v>493.5</v>
      </c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  <c r="OM6" s="9"/>
      <c r="ON6" s="9"/>
      <c r="OO6" s="9"/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N6" s="9"/>
      <c r="RO6" s="9"/>
      <c r="RP6" s="9"/>
      <c r="RQ6" s="9"/>
      <c r="RR6" s="9"/>
      <c r="RS6" s="9"/>
      <c r="RT6" s="9"/>
      <c r="RU6" s="9"/>
      <c r="RV6" s="9"/>
      <c r="RW6" s="9"/>
      <c r="RX6" s="9"/>
      <c r="RY6" s="9"/>
      <c r="RZ6" s="9"/>
      <c r="SA6" s="9"/>
      <c r="SB6" s="9"/>
      <c r="SC6" s="9"/>
      <c r="SD6" s="9"/>
      <c r="SE6" s="9"/>
      <c r="SF6" s="9"/>
      <c r="SG6" s="9"/>
      <c r="SH6" s="9"/>
      <c r="SI6" s="9"/>
      <c r="SJ6" s="9"/>
      <c r="SK6" s="9"/>
      <c r="SL6" s="9"/>
      <c r="SM6" s="9"/>
      <c r="SN6" s="9"/>
      <c r="SO6" s="9"/>
      <c r="SP6" s="9"/>
      <c r="SQ6" s="9"/>
      <c r="SR6" s="9"/>
      <c r="SS6" s="9"/>
      <c r="ST6" s="9"/>
      <c r="SU6" s="9"/>
      <c r="SV6" s="9"/>
      <c r="SW6" s="9"/>
      <c r="SX6" s="9"/>
      <c r="SY6" s="9"/>
      <c r="SZ6" s="9"/>
      <c r="TA6" s="9"/>
      <c r="TB6" s="9"/>
      <c r="TC6" s="9"/>
      <c r="TD6" s="9"/>
      <c r="TE6" s="9"/>
      <c r="TF6" s="9"/>
      <c r="TG6" s="9"/>
      <c r="TH6" s="9"/>
      <c r="TI6" s="9"/>
      <c r="TJ6" s="9"/>
      <c r="TK6" s="9"/>
      <c r="TL6" s="9"/>
      <c r="TM6" s="9"/>
      <c r="TN6" s="9"/>
      <c r="TO6" s="9"/>
      <c r="TP6" s="9"/>
      <c r="TQ6" s="9"/>
      <c r="TR6" s="9"/>
      <c r="TS6" s="9"/>
      <c r="TT6" s="9"/>
      <c r="TU6" s="9"/>
      <c r="TV6" s="9"/>
      <c r="TW6" s="9"/>
      <c r="TX6" s="9"/>
      <c r="TY6" s="9"/>
      <c r="TZ6" s="9"/>
      <c r="UA6" s="9"/>
      <c r="UB6" s="9"/>
      <c r="UC6" s="9"/>
      <c r="UD6" s="9"/>
      <c r="UE6" s="9"/>
      <c r="UF6" s="9"/>
      <c r="UG6" s="9"/>
      <c r="UH6" s="9"/>
      <c r="UI6" s="9"/>
      <c r="UJ6" s="9"/>
      <c r="UK6" s="9"/>
      <c r="UL6" s="9"/>
      <c r="UM6" s="9"/>
      <c r="UN6" s="9"/>
      <c r="UO6" s="9"/>
      <c r="UP6" s="9"/>
      <c r="UQ6" s="9"/>
      <c r="UR6" s="9"/>
      <c r="US6" s="9"/>
      <c r="UT6" s="9"/>
      <c r="UU6" s="9"/>
      <c r="UV6" s="9"/>
      <c r="UW6" s="9"/>
      <c r="UX6" s="9"/>
      <c r="UY6" s="9"/>
      <c r="UZ6" s="9"/>
      <c r="VA6" s="9"/>
      <c r="VB6" s="9"/>
      <c r="VC6" s="9"/>
      <c r="VD6" s="9"/>
      <c r="VE6" s="9"/>
      <c r="VF6" s="9"/>
      <c r="VG6" s="9"/>
      <c r="VH6" s="9"/>
      <c r="VI6" s="9"/>
      <c r="VJ6" s="9"/>
      <c r="VK6" s="9"/>
      <c r="VL6" s="9"/>
      <c r="VM6" s="9"/>
      <c r="VN6" s="9"/>
      <c r="VO6" s="9"/>
      <c r="VP6" s="9"/>
      <c r="VQ6" s="9"/>
      <c r="VR6" s="9"/>
      <c r="VS6" s="9"/>
      <c r="VT6" s="9"/>
      <c r="VU6" s="9"/>
      <c r="VV6" s="9"/>
      <c r="VW6" s="9"/>
      <c r="VX6" s="9"/>
      <c r="VY6" s="9"/>
      <c r="VZ6" s="9"/>
      <c r="WA6" s="9"/>
      <c r="WB6" s="9"/>
      <c r="WC6" s="9"/>
      <c r="WD6" s="9"/>
      <c r="WE6" s="9"/>
      <c r="WF6" s="9"/>
      <c r="WG6" s="9"/>
      <c r="WH6" s="9"/>
      <c r="WI6" s="9"/>
      <c r="WJ6" s="9"/>
      <c r="WK6" s="9"/>
      <c r="WL6" s="9"/>
      <c r="WM6" s="9"/>
      <c r="WN6" s="9"/>
      <c r="WO6" s="9"/>
      <c r="WP6" s="9"/>
      <c r="WQ6" s="9"/>
      <c r="WR6" s="9"/>
      <c r="WS6" s="9"/>
      <c r="WT6" s="9"/>
      <c r="WU6" s="9"/>
      <c r="WV6" s="9"/>
      <c r="WW6" s="9"/>
      <c r="WX6" s="9"/>
      <c r="WY6" s="9"/>
      <c r="WZ6" s="9"/>
      <c r="XA6" s="9"/>
      <c r="XB6" s="9"/>
      <c r="XC6" s="9"/>
      <c r="XD6" s="9"/>
      <c r="XE6" s="9"/>
      <c r="XF6" s="9"/>
      <c r="XG6" s="9"/>
      <c r="XH6" s="9"/>
      <c r="XI6" s="9"/>
      <c r="XJ6" s="9"/>
      <c r="XK6" s="9"/>
      <c r="XL6" s="9"/>
      <c r="XM6" s="9"/>
      <c r="XN6" s="9"/>
      <c r="XO6" s="9"/>
      <c r="XP6" s="9"/>
      <c r="XQ6" s="9"/>
      <c r="XR6" s="9"/>
      <c r="XS6" s="9"/>
      <c r="XT6" s="9"/>
      <c r="XU6" s="9"/>
      <c r="XV6" s="9"/>
      <c r="XW6" s="9"/>
      <c r="XX6" s="9"/>
      <c r="XY6" s="9"/>
      <c r="XZ6" s="9"/>
      <c r="YA6" s="9"/>
      <c r="YB6" s="9"/>
      <c r="YC6" s="9"/>
      <c r="YD6" s="9"/>
      <c r="YE6" s="9"/>
      <c r="YF6" s="9"/>
      <c r="YG6" s="9"/>
      <c r="YH6" s="9"/>
      <c r="YI6" s="9"/>
      <c r="YJ6" s="9"/>
      <c r="YK6" s="9"/>
      <c r="YL6" s="9"/>
      <c r="YM6" s="9"/>
      <c r="YN6" s="9"/>
      <c r="YO6" s="9"/>
      <c r="YP6" s="9"/>
      <c r="YQ6" s="9"/>
      <c r="YR6" s="9"/>
      <c r="YS6" s="9"/>
      <c r="YT6" s="9"/>
      <c r="YU6" s="9"/>
      <c r="YV6" s="9"/>
      <c r="YW6" s="9"/>
      <c r="YX6" s="9"/>
      <c r="YY6" s="9"/>
      <c r="YZ6" s="9"/>
      <c r="ZA6" s="9"/>
      <c r="ZB6" s="9"/>
      <c r="ZC6" s="9"/>
      <c r="ZD6" s="9"/>
      <c r="ZE6" s="9"/>
      <c r="ZF6" s="9"/>
      <c r="ZG6" s="9"/>
      <c r="ZH6" s="9"/>
      <c r="ZI6" s="9"/>
      <c r="ZJ6" s="9"/>
      <c r="ZK6" s="9"/>
      <c r="ZL6" s="9"/>
      <c r="ZM6" s="9"/>
      <c r="ZN6" s="9"/>
      <c r="ZO6" s="9"/>
      <c r="ZP6" s="9"/>
      <c r="ZQ6" s="9"/>
    </row>
    <row r="7" spans="1:693" x14ac:dyDescent="0.25">
      <c r="A7" s="14" t="s">
        <v>59</v>
      </c>
      <c r="B7" s="14">
        <v>2601028</v>
      </c>
      <c r="C7" s="14" t="s">
        <v>60</v>
      </c>
      <c r="D7" s="5">
        <v>2604</v>
      </c>
      <c r="E7" s="14" t="s">
        <v>62</v>
      </c>
      <c r="F7" s="5">
        <v>1</v>
      </c>
      <c r="G7" s="7">
        <v>361.5</v>
      </c>
      <c r="H7" s="5">
        <v>364</v>
      </c>
      <c r="I7" s="5">
        <v>361.5</v>
      </c>
      <c r="J7" s="8">
        <v>490</v>
      </c>
      <c r="K7" s="5">
        <v>435.5</v>
      </c>
      <c r="L7" s="5">
        <v>490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</row>
    <row r="8" spans="1:693" x14ac:dyDescent="0.25">
      <c r="A8" s="14" t="s">
        <v>59</v>
      </c>
      <c r="B8" s="14">
        <v>2601029</v>
      </c>
      <c r="C8" s="14" t="s">
        <v>67</v>
      </c>
      <c r="D8" s="5">
        <v>2299</v>
      </c>
      <c r="E8" s="14" t="s">
        <v>70</v>
      </c>
      <c r="F8" s="5">
        <v>1</v>
      </c>
      <c r="G8" s="7">
        <v>340.5</v>
      </c>
      <c r="H8" s="5">
        <v>340.5</v>
      </c>
      <c r="I8" s="5">
        <v>392.5</v>
      </c>
      <c r="J8" s="8">
        <v>489</v>
      </c>
      <c r="K8" s="5">
        <v>489</v>
      </c>
      <c r="L8" s="5">
        <v>481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9"/>
      <c r="LJ8" s="9"/>
      <c r="LK8" s="9"/>
      <c r="LL8" s="9"/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9"/>
      <c r="LZ8" s="9"/>
      <c r="MA8" s="9"/>
      <c r="MB8" s="9"/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9"/>
      <c r="MO8" s="9"/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9"/>
      <c r="NL8" s="9"/>
      <c r="NM8" s="9"/>
      <c r="NN8" s="9"/>
      <c r="NO8" s="9"/>
      <c r="NP8" s="9"/>
      <c r="NQ8" s="9"/>
      <c r="NR8" s="9"/>
      <c r="NS8" s="9"/>
      <c r="NT8" s="9"/>
      <c r="NU8" s="9"/>
      <c r="NV8" s="9"/>
      <c r="NW8" s="9"/>
      <c r="NX8" s="9"/>
      <c r="NY8" s="9"/>
      <c r="NZ8" s="9"/>
      <c r="OA8" s="9"/>
      <c r="OB8" s="9"/>
      <c r="OC8" s="9"/>
      <c r="OD8" s="9"/>
      <c r="OE8" s="9"/>
      <c r="OF8" s="9"/>
      <c r="OG8" s="9"/>
      <c r="OH8" s="9"/>
      <c r="OI8" s="9"/>
      <c r="OJ8" s="9"/>
      <c r="OK8" s="9"/>
      <c r="OL8" s="9"/>
      <c r="OM8" s="9"/>
      <c r="ON8" s="9"/>
      <c r="OO8" s="9"/>
      <c r="OP8" s="9"/>
      <c r="OQ8" s="9"/>
      <c r="OR8" s="9"/>
      <c r="OS8" s="9"/>
      <c r="OT8" s="9"/>
      <c r="OU8" s="9"/>
      <c r="OV8" s="9"/>
      <c r="OW8" s="9"/>
      <c r="OX8" s="9"/>
      <c r="OY8" s="9"/>
      <c r="OZ8" s="9"/>
      <c r="PA8" s="9"/>
      <c r="PB8" s="9"/>
      <c r="PC8" s="9"/>
      <c r="PD8" s="9"/>
      <c r="PE8" s="9"/>
      <c r="PF8" s="9"/>
      <c r="PG8" s="9"/>
      <c r="PH8" s="9"/>
      <c r="PI8" s="9"/>
      <c r="PJ8" s="9"/>
      <c r="PK8" s="9"/>
      <c r="PL8" s="9"/>
      <c r="PM8" s="9"/>
      <c r="PN8" s="9"/>
      <c r="PO8" s="9"/>
      <c r="PP8" s="9"/>
      <c r="PQ8" s="9"/>
      <c r="PR8" s="9"/>
      <c r="PS8" s="9"/>
      <c r="PT8" s="9"/>
      <c r="PU8" s="9"/>
      <c r="PV8" s="9"/>
      <c r="PW8" s="9"/>
      <c r="PX8" s="9"/>
      <c r="PY8" s="9"/>
      <c r="PZ8" s="9"/>
      <c r="QA8" s="9"/>
      <c r="QB8" s="9"/>
      <c r="QC8" s="9"/>
      <c r="QD8" s="9"/>
      <c r="QE8" s="9"/>
      <c r="QF8" s="9"/>
      <c r="QG8" s="9"/>
      <c r="QH8" s="9"/>
      <c r="QI8" s="9"/>
      <c r="QJ8" s="9"/>
      <c r="QK8" s="9"/>
      <c r="QL8" s="9"/>
      <c r="QM8" s="9"/>
      <c r="QN8" s="9"/>
      <c r="QO8" s="9"/>
      <c r="QP8" s="9"/>
      <c r="QQ8" s="9"/>
      <c r="QR8" s="9"/>
      <c r="QS8" s="9"/>
      <c r="QT8" s="9"/>
      <c r="QU8" s="9"/>
      <c r="QV8" s="9"/>
      <c r="QW8" s="9"/>
      <c r="QX8" s="9"/>
      <c r="QY8" s="9"/>
      <c r="QZ8" s="9"/>
      <c r="RA8" s="9"/>
      <c r="RB8" s="9"/>
      <c r="RC8" s="9"/>
      <c r="RD8" s="9"/>
      <c r="RE8" s="9"/>
      <c r="RF8" s="9"/>
      <c r="RG8" s="9"/>
      <c r="RH8" s="9"/>
      <c r="RI8" s="9"/>
      <c r="RJ8" s="9"/>
      <c r="RK8" s="9"/>
      <c r="RL8" s="9"/>
      <c r="RM8" s="9"/>
      <c r="RN8" s="9"/>
      <c r="RO8" s="9"/>
      <c r="RP8" s="9"/>
      <c r="RQ8" s="9"/>
      <c r="RR8" s="9"/>
      <c r="RS8" s="9"/>
      <c r="RT8" s="9"/>
      <c r="RU8" s="9"/>
      <c r="RV8" s="9"/>
      <c r="RW8" s="9"/>
      <c r="RX8" s="9"/>
      <c r="RY8" s="9"/>
      <c r="RZ8" s="9"/>
      <c r="SA8" s="9"/>
      <c r="SB8" s="9"/>
      <c r="SC8" s="9"/>
      <c r="SD8" s="9"/>
      <c r="SE8" s="9"/>
      <c r="SF8" s="9"/>
      <c r="SG8" s="9"/>
      <c r="SH8" s="9"/>
      <c r="SI8" s="9"/>
      <c r="SJ8" s="9"/>
      <c r="SK8" s="9"/>
      <c r="SL8" s="9"/>
      <c r="SM8" s="9"/>
      <c r="SN8" s="9"/>
      <c r="SO8" s="9"/>
      <c r="SP8" s="9"/>
      <c r="SQ8" s="9"/>
      <c r="SR8" s="9"/>
      <c r="SS8" s="9"/>
      <c r="ST8" s="9"/>
      <c r="SU8" s="9"/>
      <c r="SV8" s="9"/>
      <c r="SW8" s="9"/>
      <c r="SX8" s="9"/>
      <c r="SY8" s="9"/>
      <c r="SZ8" s="9"/>
      <c r="TA8" s="9"/>
      <c r="TB8" s="9"/>
      <c r="TC8" s="9"/>
      <c r="TD8" s="9"/>
      <c r="TE8" s="9"/>
      <c r="TF8" s="9"/>
      <c r="TG8" s="9"/>
      <c r="TH8" s="9"/>
      <c r="TI8" s="9"/>
      <c r="TJ8" s="9"/>
      <c r="TK8" s="9"/>
      <c r="TL8" s="9"/>
      <c r="TM8" s="9"/>
      <c r="TN8" s="9"/>
      <c r="TO8" s="9"/>
      <c r="TP8" s="9"/>
      <c r="TQ8" s="9"/>
      <c r="TR8" s="9"/>
      <c r="TS8" s="9"/>
      <c r="TT8" s="9"/>
      <c r="TU8" s="9"/>
      <c r="TV8" s="9"/>
      <c r="TW8" s="9"/>
      <c r="TX8" s="9"/>
      <c r="TY8" s="9"/>
      <c r="TZ8" s="9"/>
      <c r="UA8" s="9"/>
      <c r="UB8" s="9"/>
      <c r="UC8" s="9"/>
      <c r="UD8" s="9"/>
      <c r="UE8" s="9"/>
      <c r="UF8" s="9"/>
      <c r="UG8" s="9"/>
      <c r="UH8" s="9"/>
      <c r="UI8" s="9"/>
      <c r="UJ8" s="9"/>
      <c r="UK8" s="9"/>
      <c r="UL8" s="9"/>
      <c r="UM8" s="9"/>
      <c r="UN8" s="9"/>
      <c r="UO8" s="9"/>
      <c r="UP8" s="9"/>
      <c r="UQ8" s="9"/>
      <c r="UR8" s="9"/>
      <c r="US8" s="9"/>
      <c r="UT8" s="9"/>
      <c r="UU8" s="9"/>
      <c r="UV8" s="9"/>
      <c r="UW8" s="9"/>
      <c r="UX8" s="9"/>
      <c r="UY8" s="9"/>
      <c r="UZ8" s="9"/>
      <c r="VA8" s="9"/>
      <c r="VB8" s="9"/>
      <c r="VC8" s="9"/>
      <c r="VD8" s="9"/>
      <c r="VE8" s="9"/>
      <c r="VF8" s="9"/>
      <c r="VG8" s="9"/>
      <c r="VH8" s="9"/>
      <c r="VI8" s="9"/>
      <c r="VJ8" s="9"/>
      <c r="VK8" s="9"/>
      <c r="VL8" s="9"/>
      <c r="VM8" s="9"/>
      <c r="VN8" s="9"/>
      <c r="VO8" s="9"/>
      <c r="VP8" s="9"/>
      <c r="VQ8" s="9"/>
      <c r="VR8" s="9"/>
      <c r="VS8" s="9"/>
      <c r="VT8" s="9"/>
      <c r="VU8" s="9"/>
      <c r="VV8" s="9"/>
      <c r="VW8" s="9"/>
      <c r="VX8" s="9"/>
      <c r="VY8" s="9"/>
      <c r="VZ8" s="9"/>
      <c r="WA8" s="9"/>
      <c r="WB8" s="9"/>
      <c r="WC8" s="9"/>
      <c r="WD8" s="9"/>
      <c r="WE8" s="9"/>
      <c r="WF8" s="9"/>
      <c r="WG8" s="9"/>
      <c r="WH8" s="9"/>
      <c r="WI8" s="9"/>
      <c r="WJ8" s="9"/>
      <c r="WK8" s="9"/>
      <c r="WL8" s="9"/>
      <c r="WM8" s="9"/>
      <c r="WN8" s="9"/>
      <c r="WO8" s="9"/>
      <c r="WP8" s="9"/>
      <c r="WQ8" s="9"/>
      <c r="WR8" s="9"/>
      <c r="WS8" s="9"/>
      <c r="WT8" s="9"/>
      <c r="WU8" s="9"/>
      <c r="WV8" s="9"/>
      <c r="WW8" s="9"/>
      <c r="WX8" s="9"/>
      <c r="WY8" s="9"/>
      <c r="WZ8" s="9"/>
      <c r="XA8" s="9"/>
      <c r="XB8" s="9"/>
      <c r="XC8" s="9"/>
      <c r="XD8" s="9"/>
      <c r="XE8" s="9"/>
      <c r="XF8" s="9"/>
      <c r="XG8" s="9"/>
      <c r="XH8" s="9"/>
      <c r="XI8" s="9"/>
      <c r="XJ8" s="9"/>
      <c r="XK8" s="9"/>
      <c r="XL8" s="9"/>
      <c r="XM8" s="9"/>
      <c r="XN8" s="9"/>
      <c r="XO8" s="9"/>
      <c r="XP8" s="9"/>
      <c r="XQ8" s="9"/>
      <c r="XR8" s="9"/>
      <c r="XS8" s="9"/>
      <c r="XT8" s="9"/>
      <c r="XU8" s="9"/>
      <c r="XV8" s="9"/>
      <c r="XW8" s="9"/>
      <c r="XX8" s="9"/>
      <c r="XY8" s="9"/>
      <c r="XZ8" s="9"/>
      <c r="YA8" s="9"/>
      <c r="YB8" s="9"/>
      <c r="YC8" s="9"/>
      <c r="YD8" s="9"/>
      <c r="YE8" s="9"/>
      <c r="YF8" s="9"/>
      <c r="YG8" s="9"/>
      <c r="YH8" s="9"/>
      <c r="YI8" s="9"/>
      <c r="YJ8" s="9"/>
      <c r="YK8" s="9"/>
      <c r="YL8" s="9"/>
      <c r="YM8" s="9"/>
      <c r="YN8" s="9"/>
      <c r="YO8" s="9"/>
      <c r="YP8" s="9"/>
      <c r="YQ8" s="9"/>
      <c r="YR8" s="9"/>
      <c r="YS8" s="9"/>
      <c r="YT8" s="9"/>
      <c r="YU8" s="9"/>
      <c r="YV8" s="9"/>
      <c r="YW8" s="9"/>
      <c r="YX8" s="9"/>
      <c r="YY8" s="9"/>
      <c r="YZ8" s="9"/>
      <c r="ZA8" s="9"/>
      <c r="ZB8" s="9"/>
      <c r="ZC8" s="9"/>
      <c r="ZD8" s="9"/>
      <c r="ZE8" s="9"/>
      <c r="ZF8" s="9"/>
      <c r="ZG8" s="9"/>
      <c r="ZH8" s="9"/>
      <c r="ZI8" s="9"/>
      <c r="ZJ8" s="9"/>
      <c r="ZK8" s="9"/>
      <c r="ZL8" s="9"/>
      <c r="ZM8" s="9"/>
      <c r="ZN8" s="9"/>
      <c r="ZO8" s="9"/>
      <c r="ZP8" s="9"/>
      <c r="ZQ8" s="9"/>
    </row>
    <row r="9" spans="1:693" x14ac:dyDescent="0.25">
      <c r="A9" s="14" t="s">
        <v>59</v>
      </c>
      <c r="B9" s="14">
        <v>2601028</v>
      </c>
      <c r="C9" s="14" t="s">
        <v>60</v>
      </c>
      <c r="D9" s="5">
        <v>2625</v>
      </c>
      <c r="E9" s="14" t="s">
        <v>61</v>
      </c>
      <c r="F9" s="5">
        <v>1</v>
      </c>
      <c r="G9" s="7">
        <v>394</v>
      </c>
      <c r="H9" s="5">
        <v>396.5</v>
      </c>
      <c r="I9" s="5">
        <v>394</v>
      </c>
      <c r="J9" s="8">
        <v>486</v>
      </c>
      <c r="K9" s="5">
        <v>424.5</v>
      </c>
      <c r="L9" s="5">
        <v>486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GZ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P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F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  <c r="IV9" s="9"/>
      <c r="IW9" s="9"/>
      <c r="IX9" s="9"/>
      <c r="IY9" s="9"/>
      <c r="IZ9" s="9"/>
      <c r="JA9" s="9"/>
      <c r="JB9" s="9"/>
      <c r="JC9" s="9"/>
      <c r="JD9" s="9"/>
      <c r="JE9" s="9"/>
      <c r="JF9" s="9"/>
      <c r="JG9" s="9"/>
      <c r="JH9" s="9"/>
      <c r="JI9" s="9"/>
      <c r="JJ9" s="9"/>
      <c r="JK9" s="9"/>
      <c r="JL9" s="9"/>
      <c r="JM9" s="9"/>
      <c r="JN9" s="9"/>
      <c r="JO9" s="9"/>
      <c r="JP9" s="9"/>
      <c r="JQ9" s="9"/>
      <c r="JR9" s="9"/>
      <c r="JS9" s="9"/>
      <c r="JT9" s="9"/>
      <c r="JU9" s="9"/>
      <c r="JV9" s="9"/>
      <c r="JW9" s="9"/>
      <c r="JX9" s="9"/>
      <c r="JY9" s="9"/>
      <c r="JZ9" s="9"/>
      <c r="KA9" s="9"/>
      <c r="KB9" s="9"/>
      <c r="KC9" s="9"/>
      <c r="KD9" s="9"/>
      <c r="KE9" s="9"/>
      <c r="KF9" s="9"/>
      <c r="KG9" s="9"/>
      <c r="KH9" s="9"/>
      <c r="KI9" s="9"/>
      <c r="KJ9" s="9"/>
      <c r="KK9" s="9"/>
      <c r="KL9" s="9"/>
      <c r="KM9" s="9"/>
      <c r="KN9" s="9"/>
      <c r="KO9" s="9"/>
      <c r="KP9" s="9"/>
      <c r="KQ9" s="9"/>
      <c r="KR9" s="9"/>
      <c r="KS9" s="9"/>
      <c r="KT9" s="9"/>
      <c r="KU9" s="9"/>
      <c r="KV9" s="9"/>
      <c r="KW9" s="9"/>
      <c r="KX9" s="9"/>
      <c r="KY9" s="9"/>
      <c r="KZ9" s="9"/>
      <c r="LA9" s="9"/>
      <c r="LB9" s="9"/>
      <c r="LC9" s="9"/>
      <c r="LD9" s="9"/>
      <c r="LE9" s="9"/>
      <c r="LF9" s="9"/>
      <c r="LG9" s="9"/>
      <c r="LH9" s="9"/>
      <c r="LI9" s="9"/>
      <c r="LJ9" s="9"/>
      <c r="LK9" s="9"/>
      <c r="LL9" s="9"/>
      <c r="LM9" s="9"/>
      <c r="LN9" s="9"/>
      <c r="LO9" s="9"/>
      <c r="LP9" s="9"/>
      <c r="LQ9" s="9"/>
      <c r="LR9" s="9"/>
      <c r="LS9" s="9"/>
      <c r="LT9" s="9"/>
      <c r="LU9" s="9"/>
      <c r="LV9" s="9"/>
      <c r="LW9" s="9"/>
      <c r="LX9" s="9"/>
      <c r="LY9" s="9"/>
      <c r="LZ9" s="9"/>
      <c r="MA9" s="9"/>
      <c r="MB9" s="9"/>
      <c r="MC9" s="9"/>
      <c r="MD9" s="9"/>
      <c r="ME9" s="9"/>
      <c r="MF9" s="9"/>
      <c r="MG9" s="9"/>
      <c r="MH9" s="9"/>
      <c r="MI9" s="9"/>
      <c r="MJ9" s="9"/>
      <c r="MK9" s="9"/>
      <c r="ML9" s="9"/>
      <c r="MM9" s="9"/>
      <c r="MN9" s="9"/>
      <c r="MO9" s="9"/>
      <c r="MP9" s="9"/>
      <c r="MQ9" s="9"/>
      <c r="MR9" s="9"/>
      <c r="MS9" s="9"/>
      <c r="MT9" s="9"/>
      <c r="MU9" s="9"/>
      <c r="MV9" s="9"/>
      <c r="MW9" s="9"/>
      <c r="MX9" s="9"/>
      <c r="MY9" s="9"/>
      <c r="MZ9" s="9"/>
      <c r="NA9" s="9"/>
      <c r="NB9" s="9"/>
      <c r="NC9" s="9"/>
      <c r="ND9" s="9"/>
      <c r="NE9" s="9"/>
      <c r="NF9" s="9"/>
      <c r="NG9" s="9"/>
      <c r="NH9" s="9"/>
      <c r="NI9" s="9"/>
      <c r="NJ9" s="9"/>
      <c r="NK9" s="9"/>
      <c r="NL9" s="9"/>
      <c r="NM9" s="9"/>
      <c r="NN9" s="9"/>
      <c r="NO9" s="9"/>
      <c r="NP9" s="9"/>
      <c r="NQ9" s="9"/>
      <c r="NR9" s="9"/>
      <c r="NS9" s="9"/>
      <c r="NT9" s="9"/>
      <c r="NU9" s="9"/>
      <c r="NV9" s="9"/>
      <c r="NW9" s="9"/>
      <c r="NX9" s="9"/>
      <c r="NY9" s="9"/>
      <c r="NZ9" s="9"/>
      <c r="OA9" s="9"/>
      <c r="OB9" s="9"/>
      <c r="OC9" s="9"/>
      <c r="OD9" s="9"/>
      <c r="OE9" s="9"/>
      <c r="OF9" s="9"/>
      <c r="OG9" s="9"/>
      <c r="OH9" s="9"/>
      <c r="OI9" s="9"/>
      <c r="OJ9" s="9"/>
      <c r="OK9" s="9"/>
      <c r="OL9" s="9"/>
      <c r="OM9" s="9"/>
      <c r="ON9" s="9"/>
      <c r="OO9" s="9"/>
      <c r="OP9" s="9"/>
      <c r="OQ9" s="9"/>
      <c r="OR9" s="9"/>
      <c r="OS9" s="9"/>
      <c r="OT9" s="9"/>
      <c r="OU9" s="9"/>
      <c r="OV9" s="9"/>
      <c r="OW9" s="9"/>
      <c r="OX9" s="9"/>
      <c r="OY9" s="9"/>
      <c r="OZ9" s="9"/>
      <c r="PA9" s="9"/>
      <c r="PB9" s="9"/>
      <c r="PC9" s="9"/>
      <c r="PD9" s="9"/>
      <c r="PE9" s="9"/>
      <c r="PF9" s="9"/>
      <c r="PG9" s="9"/>
      <c r="PH9" s="9"/>
      <c r="PI9" s="9"/>
      <c r="PJ9" s="9"/>
      <c r="PK9" s="9"/>
      <c r="PL9" s="9"/>
      <c r="PM9" s="9"/>
      <c r="PN9" s="9"/>
      <c r="PO9" s="9"/>
      <c r="PP9" s="9"/>
      <c r="PQ9" s="9"/>
      <c r="PR9" s="9"/>
      <c r="PS9" s="9"/>
      <c r="PT9" s="9"/>
      <c r="PU9" s="9"/>
      <c r="PV9" s="9"/>
      <c r="PW9" s="9"/>
      <c r="PX9" s="9"/>
      <c r="PY9" s="9"/>
      <c r="PZ9" s="9"/>
      <c r="QA9" s="9"/>
      <c r="QB9" s="9"/>
      <c r="QC9" s="9"/>
      <c r="QD9" s="9"/>
      <c r="QE9" s="9"/>
      <c r="QF9" s="9"/>
      <c r="QG9" s="9"/>
      <c r="QH9" s="9"/>
      <c r="QI9" s="9"/>
      <c r="QJ9" s="9"/>
      <c r="QK9" s="9"/>
      <c r="QL9" s="9"/>
      <c r="QM9" s="9"/>
      <c r="QN9" s="9"/>
      <c r="QO9" s="9"/>
      <c r="QP9" s="9"/>
      <c r="QQ9" s="9"/>
      <c r="QR9" s="9"/>
      <c r="QS9" s="9"/>
      <c r="QT9" s="9"/>
      <c r="QU9" s="9"/>
      <c r="QV9" s="9"/>
      <c r="QW9" s="9"/>
      <c r="QX9" s="9"/>
      <c r="QY9" s="9"/>
      <c r="QZ9" s="9"/>
      <c r="RA9" s="9"/>
      <c r="RB9" s="9"/>
      <c r="RC9" s="9"/>
      <c r="RD9" s="9"/>
      <c r="RE9" s="9"/>
      <c r="RF9" s="9"/>
      <c r="RG9" s="9"/>
      <c r="RH9" s="9"/>
      <c r="RI9" s="9"/>
      <c r="RJ9" s="9"/>
      <c r="RK9" s="9"/>
      <c r="RL9" s="9"/>
      <c r="RM9" s="9"/>
      <c r="RN9" s="9"/>
      <c r="RO9" s="9"/>
      <c r="RP9" s="9"/>
      <c r="RQ9" s="9"/>
      <c r="RR9" s="9"/>
      <c r="RS9" s="9"/>
      <c r="RT9" s="9"/>
      <c r="RU9" s="9"/>
      <c r="RV9" s="9"/>
      <c r="RW9" s="9"/>
      <c r="RX9" s="9"/>
      <c r="RY9" s="9"/>
      <c r="RZ9" s="9"/>
      <c r="SA9" s="9"/>
      <c r="SB9" s="9"/>
      <c r="SC9" s="9"/>
      <c r="SD9" s="9"/>
      <c r="SE9" s="9"/>
      <c r="SF9" s="9"/>
      <c r="SG9" s="9"/>
      <c r="SH9" s="9"/>
      <c r="SI9" s="9"/>
      <c r="SJ9" s="9"/>
      <c r="SK9" s="9"/>
      <c r="SL9" s="9"/>
      <c r="SM9" s="9"/>
      <c r="SN9" s="9"/>
      <c r="SO9" s="9"/>
      <c r="SP9" s="9"/>
      <c r="SQ9" s="9"/>
      <c r="SR9" s="9"/>
      <c r="SS9" s="9"/>
      <c r="ST9" s="9"/>
      <c r="SU9" s="9"/>
      <c r="SV9" s="9"/>
      <c r="SW9" s="9"/>
      <c r="SX9" s="9"/>
      <c r="SY9" s="9"/>
      <c r="SZ9" s="9"/>
      <c r="TA9" s="9"/>
      <c r="TB9" s="9"/>
      <c r="TC9" s="9"/>
      <c r="TD9" s="9"/>
      <c r="TE9" s="9"/>
      <c r="TF9" s="9"/>
      <c r="TG9" s="9"/>
      <c r="TH9" s="9"/>
      <c r="TI9" s="9"/>
      <c r="TJ9" s="9"/>
      <c r="TK9" s="9"/>
      <c r="TL9" s="9"/>
      <c r="TM9" s="9"/>
      <c r="TN9" s="9"/>
      <c r="TO9" s="9"/>
      <c r="TP9" s="9"/>
      <c r="TQ9" s="9"/>
      <c r="TR9" s="9"/>
      <c r="TS9" s="9"/>
      <c r="TT9" s="9"/>
      <c r="TU9" s="9"/>
      <c r="TV9" s="9"/>
      <c r="TW9" s="9"/>
      <c r="TX9" s="9"/>
      <c r="TY9" s="9"/>
      <c r="TZ9" s="9"/>
      <c r="UA9" s="9"/>
      <c r="UB9" s="9"/>
      <c r="UC9" s="9"/>
      <c r="UD9" s="9"/>
      <c r="UE9" s="9"/>
      <c r="UF9" s="9"/>
      <c r="UG9" s="9"/>
      <c r="UH9" s="9"/>
      <c r="UI9" s="9"/>
      <c r="UJ9" s="9"/>
      <c r="UK9" s="9"/>
      <c r="UL9" s="9"/>
      <c r="UM9" s="9"/>
      <c r="UN9" s="9"/>
      <c r="UO9" s="9"/>
      <c r="UP9" s="9"/>
      <c r="UQ9" s="9"/>
      <c r="UR9" s="9"/>
      <c r="US9" s="9"/>
      <c r="UT9" s="9"/>
      <c r="UU9" s="9"/>
      <c r="UV9" s="9"/>
      <c r="UW9" s="9"/>
      <c r="UX9" s="9"/>
      <c r="UY9" s="9"/>
      <c r="UZ9" s="9"/>
      <c r="VA9" s="9"/>
      <c r="VB9" s="9"/>
      <c r="VC9" s="9"/>
      <c r="VD9" s="9"/>
      <c r="VE9" s="9"/>
      <c r="VF9" s="9"/>
      <c r="VG9" s="9"/>
      <c r="VH9" s="9"/>
      <c r="VI9" s="9"/>
      <c r="VJ9" s="9"/>
      <c r="VK9" s="9"/>
      <c r="VL9" s="9"/>
      <c r="VM9" s="9"/>
      <c r="VN9" s="9"/>
      <c r="VO9" s="9"/>
      <c r="VP9" s="9"/>
      <c r="VQ9" s="9"/>
      <c r="VR9" s="9"/>
      <c r="VS9" s="9"/>
      <c r="VT9" s="9"/>
      <c r="VU9" s="9"/>
      <c r="VV9" s="9"/>
      <c r="VW9" s="9"/>
      <c r="VX9" s="9"/>
      <c r="VY9" s="9"/>
      <c r="VZ9" s="9"/>
      <c r="WA9" s="9"/>
      <c r="WB9" s="9"/>
      <c r="WC9" s="9"/>
      <c r="WD9" s="9"/>
      <c r="WE9" s="9"/>
      <c r="WF9" s="9"/>
      <c r="WG9" s="9"/>
      <c r="WH9" s="9"/>
      <c r="WI9" s="9"/>
      <c r="WJ9" s="9"/>
      <c r="WK9" s="9"/>
      <c r="WL9" s="9"/>
      <c r="WM9" s="9"/>
      <c r="WN9" s="9"/>
      <c r="WO9" s="9"/>
      <c r="WP9" s="9"/>
      <c r="WQ9" s="9"/>
      <c r="WR9" s="9"/>
      <c r="WS9" s="9"/>
      <c r="WT9" s="9"/>
      <c r="WU9" s="9"/>
      <c r="WV9" s="9"/>
      <c r="WW9" s="9"/>
      <c r="WX9" s="9"/>
      <c r="WY9" s="9"/>
      <c r="WZ9" s="9"/>
      <c r="XA9" s="9"/>
      <c r="XB9" s="9"/>
      <c r="XC9" s="9"/>
      <c r="XD9" s="9"/>
      <c r="XE9" s="9"/>
      <c r="XF9" s="9"/>
      <c r="XG9" s="9"/>
      <c r="XH9" s="9"/>
      <c r="XI9" s="9"/>
      <c r="XJ9" s="9"/>
      <c r="XK9" s="9"/>
      <c r="XL9" s="9"/>
      <c r="XM9" s="9"/>
      <c r="XN9" s="9"/>
      <c r="XO9" s="9"/>
      <c r="XP9" s="9"/>
      <c r="XQ9" s="9"/>
      <c r="XR9" s="9"/>
      <c r="XS9" s="9"/>
      <c r="XT9" s="9"/>
      <c r="XU9" s="9"/>
      <c r="XV9" s="9"/>
      <c r="XW9" s="9"/>
      <c r="XX9" s="9"/>
      <c r="XY9" s="9"/>
      <c r="XZ9" s="9"/>
      <c r="YA9" s="9"/>
      <c r="YB9" s="9"/>
      <c r="YC9" s="9"/>
      <c r="YD9" s="9"/>
      <c r="YE9" s="9"/>
      <c r="YF9" s="9"/>
      <c r="YG9" s="9"/>
      <c r="YH9" s="9"/>
      <c r="YI9" s="9"/>
      <c r="YJ9" s="9"/>
      <c r="YK9" s="9"/>
      <c r="YL9" s="9"/>
      <c r="YM9" s="9"/>
      <c r="YN9" s="9"/>
      <c r="YO9" s="9"/>
      <c r="YP9" s="9"/>
      <c r="YQ9" s="9"/>
      <c r="YR9" s="9"/>
      <c r="YS9" s="9"/>
      <c r="YT9" s="9"/>
      <c r="YU9" s="9"/>
      <c r="YV9" s="9"/>
      <c r="YW9" s="9"/>
      <c r="YX9" s="9"/>
      <c r="YY9" s="9"/>
      <c r="YZ9" s="9"/>
      <c r="ZA9" s="9"/>
      <c r="ZB9" s="9"/>
      <c r="ZC9" s="9"/>
      <c r="ZD9" s="9"/>
      <c r="ZE9" s="9"/>
      <c r="ZF9" s="9"/>
      <c r="ZG9" s="9"/>
      <c r="ZH9" s="9"/>
      <c r="ZI9" s="9"/>
      <c r="ZJ9" s="9"/>
      <c r="ZK9" s="9"/>
      <c r="ZL9" s="9"/>
      <c r="ZM9" s="9"/>
      <c r="ZN9" s="9"/>
      <c r="ZO9" s="9"/>
      <c r="ZP9" s="9"/>
      <c r="ZQ9" s="9"/>
    </row>
    <row r="10" spans="1:693" x14ac:dyDescent="0.25">
      <c r="A10" s="14" t="s">
        <v>59</v>
      </c>
      <c r="B10" s="14">
        <v>2601028</v>
      </c>
      <c r="C10" s="14" t="s">
        <v>60</v>
      </c>
      <c r="D10" s="5">
        <v>2628</v>
      </c>
      <c r="E10" s="14" t="s">
        <v>65</v>
      </c>
      <c r="F10" s="5">
        <v>1</v>
      </c>
      <c r="G10" s="7">
        <v>323.5</v>
      </c>
      <c r="H10" s="5">
        <v>330</v>
      </c>
      <c r="I10" s="5">
        <v>323.5</v>
      </c>
      <c r="J10" s="8">
        <v>483</v>
      </c>
      <c r="K10" s="5">
        <v>408</v>
      </c>
      <c r="L10" s="5">
        <v>483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GZ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P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F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  <c r="IV10" s="9"/>
      <c r="IW10" s="9"/>
      <c r="IX10" s="9"/>
      <c r="IY10" s="9"/>
      <c r="IZ10" s="9"/>
      <c r="JA10" s="9"/>
      <c r="JB10" s="9"/>
      <c r="JC10" s="9"/>
      <c r="JD10" s="9"/>
      <c r="JE10" s="9"/>
      <c r="JF10" s="9"/>
      <c r="JG10" s="9"/>
      <c r="JH10" s="9"/>
      <c r="JI10" s="9"/>
      <c r="JJ10" s="9"/>
      <c r="JK10" s="9"/>
      <c r="JL10" s="9"/>
      <c r="JM10" s="9"/>
      <c r="JN10" s="9"/>
      <c r="JO10" s="9"/>
      <c r="JP10" s="9"/>
      <c r="JQ10" s="9"/>
      <c r="JR10" s="9"/>
      <c r="JS10" s="9"/>
      <c r="JT10" s="9"/>
      <c r="JU10" s="9"/>
      <c r="JV10" s="9"/>
      <c r="JW10" s="9"/>
      <c r="JX10" s="9"/>
      <c r="JY10" s="9"/>
      <c r="JZ10" s="9"/>
      <c r="KA10" s="9"/>
      <c r="KB10" s="9"/>
      <c r="KC10" s="9"/>
      <c r="KD10" s="9"/>
      <c r="KE10" s="9"/>
      <c r="KF10" s="9"/>
      <c r="KG10" s="9"/>
      <c r="KH10" s="9"/>
      <c r="KI10" s="9"/>
      <c r="KJ10" s="9"/>
      <c r="KK10" s="9"/>
      <c r="KL10" s="9"/>
      <c r="KM10" s="9"/>
      <c r="KN10" s="9"/>
      <c r="KO10" s="9"/>
      <c r="KP10" s="9"/>
      <c r="KQ10" s="9"/>
      <c r="KR10" s="9"/>
      <c r="KS10" s="9"/>
      <c r="KT10" s="9"/>
      <c r="KU10" s="9"/>
      <c r="KV10" s="9"/>
      <c r="KW10" s="9"/>
      <c r="KX10" s="9"/>
      <c r="KY10" s="9"/>
      <c r="KZ10" s="9"/>
      <c r="LA10" s="9"/>
      <c r="LB10" s="9"/>
      <c r="LC10" s="9"/>
      <c r="LD10" s="9"/>
      <c r="LE10" s="9"/>
      <c r="LF10" s="9"/>
      <c r="LG10" s="9"/>
      <c r="LH10" s="9"/>
      <c r="LI10" s="9"/>
      <c r="LJ10" s="9"/>
      <c r="LK10" s="9"/>
      <c r="LL10" s="9"/>
      <c r="LM10" s="9"/>
      <c r="LN10" s="9"/>
      <c r="LO10" s="9"/>
      <c r="LP10" s="9"/>
      <c r="LQ10" s="9"/>
      <c r="LR10" s="9"/>
      <c r="LS10" s="9"/>
      <c r="LT10" s="9"/>
      <c r="LU10" s="9"/>
      <c r="LV10" s="9"/>
      <c r="LW10" s="9"/>
      <c r="LX10" s="9"/>
      <c r="LY10" s="9"/>
      <c r="LZ10" s="9"/>
      <c r="MA10" s="9"/>
      <c r="MB10" s="9"/>
      <c r="MC10" s="9"/>
      <c r="MD10" s="9"/>
      <c r="ME10" s="9"/>
      <c r="MF10" s="9"/>
      <c r="MG10" s="9"/>
      <c r="MH10" s="9"/>
      <c r="MI10" s="9"/>
      <c r="MJ10" s="9"/>
      <c r="MK10" s="9"/>
      <c r="ML10" s="9"/>
      <c r="MM10" s="9"/>
      <c r="MN10" s="9"/>
      <c r="MO10" s="9"/>
      <c r="MP10" s="9"/>
      <c r="MQ10" s="9"/>
      <c r="MR10" s="9"/>
      <c r="MS10" s="9"/>
      <c r="MT10" s="9"/>
      <c r="MU10" s="9"/>
      <c r="MV10" s="9"/>
      <c r="MW10" s="9"/>
      <c r="MX10" s="9"/>
      <c r="MY10" s="9"/>
      <c r="MZ10" s="9"/>
      <c r="NA10" s="9"/>
      <c r="NB10" s="9"/>
      <c r="NC10" s="9"/>
      <c r="ND10" s="9"/>
      <c r="NE10" s="9"/>
      <c r="NF10" s="9"/>
      <c r="NG10" s="9"/>
      <c r="NH10" s="9"/>
      <c r="NI10" s="9"/>
      <c r="NJ10" s="9"/>
      <c r="NK10" s="9"/>
      <c r="NL10" s="9"/>
      <c r="NM10" s="9"/>
      <c r="NN10" s="9"/>
      <c r="NO10" s="9"/>
      <c r="NP10" s="9"/>
      <c r="NQ10" s="9"/>
      <c r="NR10" s="9"/>
      <c r="NS10" s="9"/>
      <c r="NT10" s="9"/>
      <c r="NU10" s="9"/>
      <c r="NV10" s="9"/>
      <c r="NW10" s="9"/>
      <c r="NX10" s="9"/>
      <c r="NY10" s="9"/>
      <c r="NZ10" s="9"/>
      <c r="OA10" s="9"/>
      <c r="OB10" s="9"/>
      <c r="OC10" s="9"/>
      <c r="OD10" s="9"/>
      <c r="OE10" s="9"/>
      <c r="OF10" s="9"/>
      <c r="OG10" s="9"/>
      <c r="OH10" s="9"/>
      <c r="OI10" s="9"/>
      <c r="OJ10" s="9"/>
      <c r="OK10" s="9"/>
      <c r="OL10" s="9"/>
      <c r="OM10" s="9"/>
      <c r="ON10" s="9"/>
      <c r="OO10" s="9"/>
      <c r="OP10" s="9"/>
      <c r="OQ10" s="9"/>
      <c r="OR10" s="9"/>
      <c r="OS10" s="9"/>
      <c r="OT10" s="9"/>
      <c r="OU10" s="9"/>
      <c r="OV10" s="9"/>
      <c r="OW10" s="9"/>
      <c r="OX10" s="9"/>
      <c r="OY10" s="9"/>
      <c r="OZ10" s="9"/>
      <c r="PA10" s="9"/>
      <c r="PB10" s="9"/>
      <c r="PC10" s="9"/>
      <c r="PD10" s="9"/>
      <c r="PE10" s="9"/>
      <c r="PF10" s="9"/>
      <c r="PG10" s="9"/>
      <c r="PH10" s="9"/>
      <c r="PI10" s="9"/>
      <c r="PJ10" s="9"/>
      <c r="PK10" s="9"/>
      <c r="PL10" s="9"/>
      <c r="PM10" s="9"/>
      <c r="PN10" s="9"/>
      <c r="PO10" s="9"/>
      <c r="PP10" s="9"/>
      <c r="PQ10" s="9"/>
      <c r="PR10" s="9"/>
      <c r="PS10" s="9"/>
      <c r="PT10" s="9"/>
      <c r="PU10" s="9"/>
      <c r="PV10" s="9"/>
      <c r="PW10" s="9"/>
      <c r="PX10" s="9"/>
      <c r="PY10" s="9"/>
      <c r="PZ10" s="9"/>
      <c r="QA10" s="9"/>
      <c r="QB10" s="9"/>
      <c r="QC10" s="9"/>
      <c r="QD10" s="9"/>
      <c r="QE10" s="9"/>
      <c r="QF10" s="9"/>
      <c r="QG10" s="9"/>
      <c r="QH10" s="9"/>
      <c r="QI10" s="9"/>
      <c r="QJ10" s="9"/>
      <c r="QK10" s="9"/>
      <c r="QL10" s="9"/>
      <c r="QM10" s="9"/>
      <c r="QN10" s="9"/>
      <c r="QO10" s="9"/>
      <c r="QP10" s="9"/>
      <c r="QQ10" s="9"/>
      <c r="QR10" s="9"/>
      <c r="QS10" s="9"/>
      <c r="QT10" s="9"/>
      <c r="QU10" s="9"/>
      <c r="QV10" s="9"/>
      <c r="QW10" s="9"/>
      <c r="QX10" s="9"/>
      <c r="QY10" s="9"/>
      <c r="QZ10" s="9"/>
      <c r="RA10" s="9"/>
      <c r="RB10" s="9"/>
      <c r="RC10" s="9"/>
      <c r="RD10" s="9"/>
      <c r="RE10" s="9"/>
      <c r="RF10" s="9"/>
      <c r="RG10" s="9"/>
      <c r="RH10" s="9"/>
      <c r="RI10" s="9"/>
      <c r="RJ10" s="9"/>
      <c r="RK10" s="9"/>
      <c r="RL10" s="9"/>
      <c r="RM10" s="9"/>
      <c r="RN10" s="9"/>
      <c r="RO10" s="9"/>
      <c r="RP10" s="9"/>
      <c r="RQ10" s="9"/>
      <c r="RR10" s="9"/>
      <c r="RS10" s="9"/>
      <c r="RT10" s="9"/>
      <c r="RU10" s="9"/>
      <c r="RV10" s="9"/>
      <c r="RW10" s="9"/>
      <c r="RX10" s="9"/>
      <c r="RY10" s="9"/>
      <c r="RZ10" s="9"/>
      <c r="SA10" s="9"/>
      <c r="SB10" s="9"/>
      <c r="SC10" s="9"/>
      <c r="SD10" s="9"/>
      <c r="SE10" s="9"/>
      <c r="SF10" s="9"/>
      <c r="SG10" s="9"/>
      <c r="SH10" s="9"/>
      <c r="SI10" s="9"/>
      <c r="SJ10" s="9"/>
      <c r="SK10" s="9"/>
      <c r="SL10" s="9"/>
      <c r="SM10" s="9"/>
      <c r="SN10" s="9"/>
      <c r="SO10" s="9"/>
      <c r="SP10" s="9"/>
      <c r="SQ10" s="9"/>
      <c r="SR10" s="9"/>
      <c r="SS10" s="9"/>
      <c r="ST10" s="9"/>
      <c r="SU10" s="9"/>
      <c r="SV10" s="9"/>
      <c r="SW10" s="9"/>
      <c r="SX10" s="9"/>
      <c r="SY10" s="9"/>
      <c r="SZ10" s="9"/>
      <c r="TA10" s="9"/>
      <c r="TB10" s="9"/>
      <c r="TC10" s="9"/>
      <c r="TD10" s="9"/>
      <c r="TE10" s="9"/>
      <c r="TF10" s="9"/>
      <c r="TG10" s="9"/>
      <c r="TH10" s="9"/>
      <c r="TI10" s="9"/>
      <c r="TJ10" s="9"/>
      <c r="TK10" s="9"/>
      <c r="TL10" s="9"/>
      <c r="TM10" s="9"/>
      <c r="TN10" s="9"/>
      <c r="TO10" s="9"/>
      <c r="TP10" s="9"/>
      <c r="TQ10" s="9"/>
      <c r="TR10" s="9"/>
      <c r="TS10" s="9"/>
      <c r="TT10" s="9"/>
      <c r="TU10" s="9"/>
      <c r="TV10" s="9"/>
      <c r="TW10" s="9"/>
      <c r="TX10" s="9"/>
      <c r="TY10" s="9"/>
      <c r="TZ10" s="9"/>
      <c r="UA10" s="9"/>
      <c r="UB10" s="9"/>
      <c r="UC10" s="9"/>
      <c r="UD10" s="9"/>
      <c r="UE10" s="9"/>
      <c r="UF10" s="9"/>
      <c r="UG10" s="9"/>
      <c r="UH10" s="9"/>
      <c r="UI10" s="9"/>
      <c r="UJ10" s="9"/>
      <c r="UK10" s="9"/>
      <c r="UL10" s="9"/>
      <c r="UM10" s="9"/>
      <c r="UN10" s="9"/>
      <c r="UO10" s="9"/>
      <c r="UP10" s="9"/>
      <c r="UQ10" s="9"/>
      <c r="UR10" s="9"/>
      <c r="US10" s="9"/>
      <c r="UT10" s="9"/>
      <c r="UU10" s="9"/>
      <c r="UV10" s="9"/>
      <c r="UW10" s="9"/>
      <c r="UX10" s="9"/>
      <c r="UY10" s="9"/>
      <c r="UZ10" s="9"/>
      <c r="VA10" s="9"/>
      <c r="VB10" s="9"/>
      <c r="VC10" s="9"/>
      <c r="VD10" s="9"/>
      <c r="VE10" s="9"/>
      <c r="VF10" s="9"/>
      <c r="VG10" s="9"/>
      <c r="VH10" s="9"/>
      <c r="VI10" s="9"/>
      <c r="VJ10" s="9"/>
      <c r="VK10" s="9"/>
      <c r="VL10" s="9"/>
      <c r="VM10" s="9"/>
      <c r="VN10" s="9"/>
      <c r="VO10" s="9"/>
      <c r="VP10" s="9"/>
      <c r="VQ10" s="9"/>
      <c r="VR10" s="9"/>
      <c r="VS10" s="9"/>
      <c r="VT10" s="9"/>
      <c r="VU10" s="9"/>
      <c r="VV10" s="9"/>
      <c r="VW10" s="9"/>
      <c r="VX10" s="9"/>
      <c r="VY10" s="9"/>
      <c r="VZ10" s="9"/>
      <c r="WA10" s="9"/>
      <c r="WB10" s="9"/>
      <c r="WC10" s="9"/>
      <c r="WD10" s="9"/>
      <c r="WE10" s="9"/>
      <c r="WF10" s="9"/>
      <c r="WG10" s="9"/>
      <c r="WH10" s="9"/>
      <c r="WI10" s="9"/>
      <c r="WJ10" s="9"/>
      <c r="WK10" s="9"/>
      <c r="WL10" s="9"/>
      <c r="WM10" s="9"/>
      <c r="WN10" s="9"/>
      <c r="WO10" s="9"/>
      <c r="WP10" s="9"/>
      <c r="WQ10" s="9"/>
      <c r="WR10" s="9"/>
      <c r="WS10" s="9"/>
      <c r="WT10" s="9"/>
      <c r="WU10" s="9"/>
      <c r="WV10" s="9"/>
      <c r="WW10" s="9"/>
      <c r="WX10" s="9"/>
      <c r="WY10" s="9"/>
      <c r="WZ10" s="9"/>
      <c r="XA10" s="9"/>
      <c r="XB10" s="9"/>
      <c r="XC10" s="9"/>
      <c r="XD10" s="9"/>
      <c r="XE10" s="9"/>
      <c r="XF10" s="9"/>
      <c r="XG10" s="9"/>
      <c r="XH10" s="9"/>
      <c r="XI10" s="9"/>
      <c r="XJ10" s="9"/>
      <c r="XK10" s="9"/>
      <c r="XL10" s="9"/>
      <c r="XM10" s="9"/>
      <c r="XN10" s="9"/>
      <c r="XO10" s="9"/>
      <c r="XP10" s="9"/>
      <c r="XQ10" s="9"/>
      <c r="XR10" s="9"/>
      <c r="XS10" s="9"/>
      <c r="XT10" s="9"/>
      <c r="XU10" s="9"/>
      <c r="XV10" s="9"/>
      <c r="XW10" s="9"/>
      <c r="XX10" s="9"/>
      <c r="XY10" s="9"/>
      <c r="XZ10" s="9"/>
      <c r="YA10" s="9"/>
      <c r="YB10" s="9"/>
      <c r="YC10" s="9"/>
      <c r="YD10" s="9"/>
      <c r="YE10" s="9"/>
      <c r="YF10" s="9"/>
      <c r="YG10" s="9"/>
      <c r="YH10" s="9"/>
      <c r="YI10" s="9"/>
      <c r="YJ10" s="9"/>
      <c r="YK10" s="9"/>
      <c r="YL10" s="9"/>
      <c r="YM10" s="9"/>
      <c r="YN10" s="9"/>
      <c r="YO10" s="9"/>
      <c r="YP10" s="9"/>
      <c r="YQ10" s="9"/>
      <c r="YR10" s="9"/>
      <c r="YS10" s="9"/>
      <c r="YT10" s="9"/>
      <c r="YU10" s="9"/>
      <c r="YV10" s="9"/>
      <c r="YW10" s="9"/>
      <c r="YX10" s="9"/>
      <c r="YY10" s="9"/>
      <c r="YZ10" s="9"/>
      <c r="ZA10" s="9"/>
      <c r="ZB10" s="9"/>
      <c r="ZC10" s="9"/>
      <c r="ZD10" s="9"/>
      <c r="ZE10" s="9"/>
      <c r="ZF10" s="9"/>
      <c r="ZG10" s="9"/>
      <c r="ZH10" s="9"/>
      <c r="ZI10" s="9"/>
      <c r="ZJ10" s="9"/>
      <c r="ZK10" s="9"/>
      <c r="ZL10" s="9"/>
      <c r="ZM10" s="9"/>
      <c r="ZN10" s="9"/>
      <c r="ZO10" s="9"/>
      <c r="ZP10" s="9"/>
      <c r="ZQ10" s="9"/>
    </row>
    <row r="11" spans="1:693" x14ac:dyDescent="0.25">
      <c r="A11" s="14" t="s">
        <v>59</v>
      </c>
      <c r="B11" s="14">
        <v>2601029</v>
      </c>
      <c r="C11" s="14" t="s">
        <v>67</v>
      </c>
      <c r="D11" s="5">
        <v>2302</v>
      </c>
      <c r="E11" s="14" t="s">
        <v>68</v>
      </c>
      <c r="F11" s="5">
        <v>1</v>
      </c>
      <c r="G11" s="7">
        <v>337</v>
      </c>
      <c r="H11" s="5">
        <v>375</v>
      </c>
      <c r="I11" s="5">
        <v>337</v>
      </c>
      <c r="J11" s="8">
        <v>481</v>
      </c>
      <c r="K11" s="5">
        <v>464</v>
      </c>
      <c r="L11" s="5">
        <v>481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  <c r="IZ11" s="9"/>
      <c r="JA11" s="9"/>
      <c r="JB11" s="9"/>
      <c r="JC11" s="9"/>
      <c r="JD11" s="9"/>
      <c r="JE11" s="9"/>
      <c r="JF11" s="9"/>
      <c r="JG11" s="9"/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9"/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9"/>
      <c r="KZ11" s="9"/>
      <c r="LA11" s="9"/>
      <c r="LB11" s="9"/>
      <c r="LC11" s="9"/>
      <c r="LD11" s="9"/>
      <c r="LE11" s="9"/>
      <c r="LF11" s="9"/>
      <c r="LG11" s="9"/>
      <c r="LH11" s="9"/>
      <c r="LI11" s="9"/>
      <c r="LJ11" s="9"/>
      <c r="LK11" s="9"/>
      <c r="LL11" s="9"/>
      <c r="LM11" s="9"/>
      <c r="LN11" s="9"/>
      <c r="LO11" s="9"/>
      <c r="LP11" s="9"/>
      <c r="LQ11" s="9"/>
      <c r="LR11" s="9"/>
      <c r="LS11" s="9"/>
      <c r="LT11" s="9"/>
      <c r="LU11" s="9"/>
      <c r="LV11" s="9"/>
      <c r="LW11" s="9"/>
      <c r="LX11" s="9"/>
      <c r="LY11" s="9"/>
      <c r="LZ11" s="9"/>
      <c r="MA11" s="9"/>
      <c r="MB11" s="9"/>
      <c r="MC11" s="9"/>
      <c r="MD11" s="9"/>
      <c r="ME11" s="9"/>
      <c r="MF11" s="9"/>
      <c r="MG11" s="9"/>
      <c r="MH11" s="9"/>
      <c r="MI11" s="9"/>
      <c r="MJ11" s="9"/>
      <c r="MK11" s="9"/>
      <c r="ML11" s="9"/>
      <c r="MM11" s="9"/>
      <c r="MN11" s="9"/>
      <c r="MO11" s="9"/>
      <c r="MP11" s="9"/>
      <c r="MQ11" s="9"/>
      <c r="MR11" s="9"/>
      <c r="MS11" s="9"/>
      <c r="MT11" s="9"/>
      <c r="MU11" s="9"/>
      <c r="MV11" s="9"/>
      <c r="MW11" s="9"/>
      <c r="MX11" s="9"/>
      <c r="MY11" s="9"/>
      <c r="MZ11" s="9"/>
      <c r="NA11" s="9"/>
      <c r="NB11" s="9"/>
      <c r="NC11" s="9"/>
      <c r="ND11" s="9"/>
      <c r="NE11" s="9"/>
      <c r="NF11" s="9"/>
      <c r="NG11" s="9"/>
      <c r="NH11" s="9"/>
      <c r="NI11" s="9"/>
      <c r="NJ11" s="9"/>
      <c r="NK11" s="9"/>
      <c r="NL11" s="9"/>
      <c r="NM11" s="9"/>
      <c r="NN11" s="9"/>
      <c r="NO11" s="9"/>
      <c r="NP11" s="9"/>
      <c r="NQ11" s="9"/>
      <c r="NR11" s="9"/>
      <c r="NS11" s="9"/>
      <c r="NT11" s="9"/>
      <c r="NU11" s="9"/>
      <c r="NV11" s="9"/>
      <c r="NW11" s="9"/>
      <c r="NX11" s="9"/>
      <c r="NY11" s="9"/>
      <c r="NZ11" s="9"/>
      <c r="OA11" s="9"/>
      <c r="OB11" s="9"/>
      <c r="OC11" s="9"/>
      <c r="OD11" s="9"/>
      <c r="OE11" s="9"/>
      <c r="OF11" s="9"/>
      <c r="OG11" s="9"/>
      <c r="OH11" s="9"/>
      <c r="OI11" s="9"/>
      <c r="OJ11" s="9"/>
      <c r="OK11" s="9"/>
      <c r="OL11" s="9"/>
      <c r="OM11" s="9"/>
      <c r="ON11" s="9"/>
      <c r="OO11" s="9"/>
      <c r="OP11" s="9"/>
      <c r="OQ11" s="9"/>
      <c r="OR11" s="9"/>
      <c r="OS11" s="9"/>
      <c r="OT11" s="9"/>
      <c r="OU11" s="9"/>
      <c r="OV11" s="9"/>
      <c r="OW11" s="9"/>
      <c r="OX11" s="9"/>
      <c r="OY11" s="9"/>
      <c r="OZ11" s="9"/>
      <c r="PA11" s="9"/>
      <c r="PB11" s="9"/>
      <c r="PC11" s="9"/>
      <c r="PD11" s="9"/>
      <c r="PE11" s="9"/>
      <c r="PF11" s="9"/>
      <c r="PG11" s="9"/>
      <c r="PH11" s="9"/>
      <c r="PI11" s="9"/>
      <c r="PJ11" s="9"/>
      <c r="PK11" s="9"/>
      <c r="PL11" s="9"/>
      <c r="PM11" s="9"/>
      <c r="PN11" s="9"/>
      <c r="PO11" s="9"/>
      <c r="PP11" s="9"/>
      <c r="PQ11" s="9"/>
      <c r="PR11" s="9"/>
      <c r="PS11" s="9"/>
      <c r="PT11" s="9"/>
      <c r="PU11" s="9"/>
      <c r="PV11" s="9"/>
      <c r="PW11" s="9"/>
      <c r="PX11" s="9"/>
      <c r="PY11" s="9"/>
      <c r="PZ11" s="9"/>
      <c r="QA11" s="9"/>
      <c r="QB11" s="9"/>
      <c r="QC11" s="9"/>
      <c r="QD11" s="9"/>
      <c r="QE11" s="9"/>
      <c r="QF11" s="9"/>
      <c r="QG11" s="9"/>
      <c r="QH11" s="9"/>
      <c r="QI11" s="9"/>
      <c r="QJ11" s="9"/>
      <c r="QK11" s="9"/>
      <c r="QL11" s="9"/>
      <c r="QM11" s="9"/>
      <c r="QN11" s="9"/>
      <c r="QO11" s="9"/>
      <c r="QP11" s="9"/>
      <c r="QQ11" s="9"/>
      <c r="QR11" s="9"/>
      <c r="QS11" s="9"/>
      <c r="QT11" s="9"/>
      <c r="QU11" s="9"/>
      <c r="QV11" s="9"/>
      <c r="QW11" s="9"/>
      <c r="QX11" s="9"/>
      <c r="QY11" s="9"/>
      <c r="QZ11" s="9"/>
      <c r="RA11" s="9"/>
      <c r="RB11" s="9"/>
      <c r="RC11" s="9"/>
      <c r="RD11" s="9"/>
      <c r="RE11" s="9"/>
      <c r="RF11" s="9"/>
      <c r="RG11" s="9"/>
      <c r="RH11" s="9"/>
      <c r="RI11" s="9"/>
      <c r="RJ11" s="9"/>
      <c r="RK11" s="9"/>
      <c r="RL11" s="9"/>
      <c r="RM11" s="9"/>
      <c r="RN11" s="9"/>
      <c r="RO11" s="9"/>
      <c r="RP11" s="9"/>
      <c r="RQ11" s="9"/>
      <c r="RR11" s="9"/>
      <c r="RS11" s="9"/>
      <c r="RT11" s="9"/>
      <c r="RU11" s="9"/>
      <c r="RV11" s="9"/>
      <c r="RW11" s="9"/>
      <c r="RX11" s="9"/>
      <c r="RY11" s="9"/>
      <c r="RZ11" s="9"/>
      <c r="SA11" s="9"/>
      <c r="SB11" s="9"/>
      <c r="SC11" s="9"/>
      <c r="SD11" s="9"/>
      <c r="SE11" s="9"/>
      <c r="SF11" s="9"/>
      <c r="SG11" s="9"/>
      <c r="SH11" s="9"/>
      <c r="SI11" s="9"/>
      <c r="SJ11" s="9"/>
      <c r="SK11" s="9"/>
      <c r="SL11" s="9"/>
      <c r="SM11" s="9"/>
      <c r="SN11" s="9"/>
      <c r="SO11" s="9"/>
      <c r="SP11" s="9"/>
      <c r="SQ11" s="9"/>
      <c r="SR11" s="9"/>
      <c r="SS11" s="9"/>
      <c r="ST11" s="9"/>
      <c r="SU11" s="9"/>
      <c r="SV11" s="9"/>
      <c r="SW11" s="9"/>
      <c r="SX11" s="9"/>
      <c r="SY11" s="9"/>
      <c r="SZ11" s="9"/>
      <c r="TA11" s="9"/>
      <c r="TB11" s="9"/>
      <c r="TC11" s="9"/>
      <c r="TD11" s="9"/>
      <c r="TE11" s="9"/>
      <c r="TF11" s="9"/>
      <c r="TG11" s="9"/>
      <c r="TH11" s="9"/>
      <c r="TI11" s="9"/>
      <c r="TJ11" s="9"/>
      <c r="TK11" s="9"/>
      <c r="TL11" s="9"/>
      <c r="TM11" s="9"/>
      <c r="TN11" s="9"/>
      <c r="TO11" s="9"/>
      <c r="TP11" s="9"/>
      <c r="TQ11" s="9"/>
      <c r="TR11" s="9"/>
      <c r="TS11" s="9"/>
      <c r="TT11" s="9"/>
      <c r="TU11" s="9"/>
      <c r="TV11" s="9"/>
      <c r="TW11" s="9"/>
      <c r="TX11" s="9"/>
      <c r="TY11" s="9"/>
      <c r="TZ11" s="9"/>
      <c r="UA11" s="9"/>
      <c r="UB11" s="9"/>
      <c r="UC11" s="9"/>
      <c r="UD11" s="9"/>
      <c r="UE11" s="9"/>
      <c r="UF11" s="9"/>
      <c r="UG11" s="9"/>
      <c r="UH11" s="9"/>
      <c r="UI11" s="9"/>
      <c r="UJ11" s="9"/>
      <c r="UK11" s="9"/>
      <c r="UL11" s="9"/>
      <c r="UM11" s="9"/>
      <c r="UN11" s="9"/>
      <c r="UO11" s="9"/>
      <c r="UP11" s="9"/>
      <c r="UQ11" s="9"/>
      <c r="UR11" s="9"/>
      <c r="US11" s="9"/>
      <c r="UT11" s="9"/>
      <c r="UU11" s="9"/>
      <c r="UV11" s="9"/>
      <c r="UW11" s="9"/>
      <c r="UX11" s="9"/>
      <c r="UY11" s="9"/>
      <c r="UZ11" s="9"/>
      <c r="VA11" s="9"/>
      <c r="VB11" s="9"/>
      <c r="VC11" s="9"/>
      <c r="VD11" s="9"/>
      <c r="VE11" s="9"/>
      <c r="VF11" s="9"/>
      <c r="VG11" s="9"/>
      <c r="VH11" s="9"/>
      <c r="VI11" s="9"/>
      <c r="VJ11" s="9"/>
      <c r="VK11" s="9"/>
      <c r="VL11" s="9"/>
      <c r="VM11" s="9"/>
      <c r="VN11" s="9"/>
      <c r="VO11" s="9"/>
      <c r="VP11" s="9"/>
      <c r="VQ11" s="9"/>
      <c r="VR11" s="9"/>
      <c r="VS11" s="9"/>
      <c r="VT11" s="9"/>
      <c r="VU11" s="9"/>
      <c r="VV11" s="9"/>
      <c r="VW11" s="9"/>
      <c r="VX11" s="9"/>
      <c r="VY11" s="9"/>
      <c r="VZ11" s="9"/>
      <c r="WA11" s="9"/>
      <c r="WB11" s="9"/>
      <c r="WC11" s="9"/>
      <c r="WD11" s="9"/>
      <c r="WE11" s="9"/>
      <c r="WF11" s="9"/>
      <c r="WG11" s="9"/>
      <c r="WH11" s="9"/>
      <c r="WI11" s="9"/>
      <c r="WJ11" s="9"/>
      <c r="WK11" s="9"/>
      <c r="WL11" s="9"/>
      <c r="WM11" s="9"/>
      <c r="WN11" s="9"/>
      <c r="WO11" s="9"/>
      <c r="WP11" s="9"/>
      <c r="WQ11" s="9"/>
      <c r="WR11" s="9"/>
      <c r="WS11" s="9"/>
      <c r="WT11" s="9"/>
      <c r="WU11" s="9"/>
      <c r="WV11" s="9"/>
      <c r="WW11" s="9"/>
      <c r="WX11" s="9"/>
      <c r="WY11" s="9"/>
      <c r="WZ11" s="9"/>
      <c r="XA11" s="9"/>
      <c r="XB11" s="9"/>
      <c r="XC11" s="9"/>
      <c r="XD11" s="9"/>
      <c r="XE11" s="9"/>
      <c r="XF11" s="9"/>
      <c r="XG11" s="9"/>
      <c r="XH11" s="9"/>
      <c r="XI11" s="9"/>
      <c r="XJ11" s="9"/>
      <c r="XK11" s="9"/>
      <c r="XL11" s="9"/>
      <c r="XM11" s="9"/>
      <c r="XN11" s="9"/>
      <c r="XO11" s="9"/>
      <c r="XP11" s="9"/>
      <c r="XQ11" s="9"/>
      <c r="XR11" s="9"/>
      <c r="XS11" s="9"/>
      <c r="XT11" s="9"/>
      <c r="XU11" s="9"/>
      <c r="XV11" s="9"/>
      <c r="XW11" s="9"/>
      <c r="XX11" s="9"/>
      <c r="XY11" s="9"/>
      <c r="XZ11" s="9"/>
      <c r="YA11" s="9"/>
      <c r="YB11" s="9"/>
      <c r="YC11" s="9"/>
      <c r="YD11" s="9"/>
      <c r="YE11" s="9"/>
      <c r="YF11" s="9"/>
      <c r="YG11" s="9"/>
      <c r="YH11" s="9"/>
      <c r="YI11" s="9"/>
      <c r="YJ11" s="9"/>
      <c r="YK11" s="9"/>
      <c r="YL11" s="9"/>
      <c r="YM11" s="9"/>
      <c r="YN11" s="9"/>
      <c r="YO11" s="9"/>
      <c r="YP11" s="9"/>
      <c r="YQ11" s="9"/>
      <c r="YR11" s="9"/>
      <c r="YS11" s="9"/>
      <c r="YT11" s="9"/>
      <c r="YU11" s="9"/>
      <c r="YV11" s="9"/>
      <c r="YW11" s="9"/>
      <c r="YX11" s="9"/>
      <c r="YY11" s="9"/>
      <c r="YZ11" s="9"/>
      <c r="ZA11" s="9"/>
      <c r="ZB11" s="9"/>
      <c r="ZC11" s="9"/>
      <c r="ZD11" s="9"/>
      <c r="ZE11" s="9"/>
      <c r="ZF11" s="9"/>
      <c r="ZG11" s="9"/>
      <c r="ZH11" s="9"/>
      <c r="ZI11" s="9"/>
      <c r="ZJ11" s="9"/>
      <c r="ZK11" s="9"/>
      <c r="ZL11" s="9"/>
      <c r="ZM11" s="9"/>
      <c r="ZN11" s="9"/>
      <c r="ZO11" s="9"/>
      <c r="ZP11" s="9"/>
      <c r="ZQ11" s="9"/>
    </row>
    <row r="12" spans="1:693" s="15" customFormat="1" x14ac:dyDescent="0.25">
      <c r="A12" s="14" t="s">
        <v>59</v>
      </c>
      <c r="B12" s="14">
        <v>2601028</v>
      </c>
      <c r="C12" s="14" t="s">
        <v>60</v>
      </c>
      <c r="D12" s="5">
        <v>2598</v>
      </c>
      <c r="E12" s="14" t="s">
        <v>66</v>
      </c>
      <c r="F12" s="5">
        <v>2</v>
      </c>
      <c r="G12" s="7">
        <v>317</v>
      </c>
      <c r="H12" s="5">
        <v>317</v>
      </c>
      <c r="I12" s="5">
        <v>319.5</v>
      </c>
      <c r="J12" s="8">
        <v>480</v>
      </c>
      <c r="K12" s="5">
        <v>446</v>
      </c>
      <c r="L12" s="5">
        <v>480</v>
      </c>
    </row>
    <row r="13" spans="1:693" s="15" customFormat="1" x14ac:dyDescent="0.25">
      <c r="A13" s="13" t="s">
        <v>13</v>
      </c>
      <c r="B13" s="13">
        <v>2602019</v>
      </c>
      <c r="C13" s="13" t="s">
        <v>111</v>
      </c>
      <c r="D13" s="3">
        <v>1759</v>
      </c>
      <c r="E13" s="13" t="s">
        <v>16</v>
      </c>
      <c r="F13" s="3">
        <v>1</v>
      </c>
      <c r="G13" s="7">
        <v>141</v>
      </c>
      <c r="H13" s="3">
        <v>159.5</v>
      </c>
      <c r="I13" s="3">
        <v>141</v>
      </c>
      <c r="J13" s="8">
        <v>472</v>
      </c>
      <c r="K13" s="3">
        <v>375</v>
      </c>
      <c r="L13" s="3">
        <v>472</v>
      </c>
    </row>
    <row r="14" spans="1:693" s="15" customFormat="1" x14ac:dyDescent="0.25">
      <c r="A14" s="14" t="s">
        <v>30</v>
      </c>
      <c r="B14" s="14">
        <v>2610005</v>
      </c>
      <c r="C14" s="14" t="s">
        <v>31</v>
      </c>
      <c r="D14" s="5">
        <v>1589</v>
      </c>
      <c r="E14" s="14" t="s">
        <v>32</v>
      </c>
      <c r="F14" s="5">
        <v>1</v>
      </c>
      <c r="G14" s="7">
        <v>166</v>
      </c>
      <c r="H14" s="5">
        <v>223</v>
      </c>
      <c r="I14" s="5">
        <v>166</v>
      </c>
      <c r="J14" s="8">
        <v>472</v>
      </c>
      <c r="K14" s="5">
        <v>472</v>
      </c>
      <c r="L14" s="5">
        <v>437</v>
      </c>
    </row>
    <row r="15" spans="1:693" s="15" customFormat="1" x14ac:dyDescent="0.25">
      <c r="A15" s="14" t="s">
        <v>59</v>
      </c>
      <c r="B15" s="14">
        <v>2601029</v>
      </c>
      <c r="C15" s="14" t="s">
        <v>67</v>
      </c>
      <c r="D15" s="5">
        <v>2298</v>
      </c>
      <c r="E15" s="14" t="s">
        <v>16</v>
      </c>
      <c r="F15" s="5">
        <v>1</v>
      </c>
      <c r="G15" s="7">
        <v>253</v>
      </c>
      <c r="H15" s="5">
        <v>254.25</v>
      </c>
      <c r="I15" s="5">
        <v>253</v>
      </c>
      <c r="J15" s="8">
        <v>462.5</v>
      </c>
      <c r="K15" s="5">
        <v>354.75</v>
      </c>
      <c r="L15" s="5">
        <v>462.5</v>
      </c>
    </row>
    <row r="16" spans="1:693" s="15" customFormat="1" x14ac:dyDescent="0.25">
      <c r="A16" s="14" t="s">
        <v>59</v>
      </c>
      <c r="B16" s="14">
        <v>2601034</v>
      </c>
      <c r="C16" s="14" t="s">
        <v>72</v>
      </c>
      <c r="D16" s="5">
        <v>1947</v>
      </c>
      <c r="E16" s="14" t="s">
        <v>79</v>
      </c>
      <c r="F16" s="5">
        <v>1</v>
      </c>
      <c r="G16" s="7">
        <v>294</v>
      </c>
      <c r="H16" s="5">
        <v>294</v>
      </c>
      <c r="I16" s="5">
        <v>294.5</v>
      </c>
      <c r="J16" s="8">
        <v>457</v>
      </c>
      <c r="K16" s="5">
        <v>403.5</v>
      </c>
      <c r="L16" s="5">
        <v>457</v>
      </c>
    </row>
    <row r="17" spans="1:12" s="15" customFormat="1" x14ac:dyDescent="0.25">
      <c r="A17" s="14" t="s">
        <v>59</v>
      </c>
      <c r="B17" s="14">
        <v>2601031</v>
      </c>
      <c r="C17" s="14" t="s">
        <v>101</v>
      </c>
      <c r="D17" s="5">
        <v>1487</v>
      </c>
      <c r="E17" s="14" t="s">
        <v>41</v>
      </c>
      <c r="F17" s="5">
        <v>1</v>
      </c>
      <c r="G17" s="7">
        <v>181.5</v>
      </c>
      <c r="H17" s="5">
        <v>191</v>
      </c>
      <c r="I17" s="5">
        <v>181.5</v>
      </c>
      <c r="J17" s="8">
        <v>451</v>
      </c>
      <c r="K17" s="5">
        <v>401.25</v>
      </c>
      <c r="L17" s="5">
        <v>451</v>
      </c>
    </row>
    <row r="18" spans="1:12" s="15" customFormat="1" x14ac:dyDescent="0.25">
      <c r="A18" s="14" t="s">
        <v>13</v>
      </c>
      <c r="B18" s="14">
        <v>2602020</v>
      </c>
      <c r="C18" s="14" t="s">
        <v>112</v>
      </c>
      <c r="D18" s="5">
        <v>1634</v>
      </c>
      <c r="E18" s="14" t="s">
        <v>24</v>
      </c>
      <c r="F18" s="5">
        <v>1</v>
      </c>
      <c r="G18" s="7">
        <v>329</v>
      </c>
      <c r="H18" s="5">
        <v>329</v>
      </c>
      <c r="I18" s="5">
        <v>336.75</v>
      </c>
      <c r="J18" s="8">
        <v>447</v>
      </c>
      <c r="K18" s="5">
        <v>447</v>
      </c>
      <c r="L18" s="5">
        <v>432</v>
      </c>
    </row>
    <row r="19" spans="1:12" s="15" customFormat="1" x14ac:dyDescent="0.25">
      <c r="A19" s="14" t="s">
        <v>33</v>
      </c>
      <c r="B19" s="14">
        <v>2606005</v>
      </c>
      <c r="C19" s="14" t="s">
        <v>34</v>
      </c>
      <c r="D19" s="5">
        <v>2406</v>
      </c>
      <c r="E19" s="14" t="s">
        <v>36</v>
      </c>
      <c r="F19" s="5">
        <v>1</v>
      </c>
      <c r="G19" s="7">
        <v>32</v>
      </c>
      <c r="H19" s="5">
        <v>36</v>
      </c>
      <c r="I19" s="5">
        <v>32</v>
      </c>
      <c r="J19" s="8">
        <v>445.5</v>
      </c>
      <c r="K19" s="5">
        <v>349.5</v>
      </c>
      <c r="L19" s="5">
        <v>445.5</v>
      </c>
    </row>
    <row r="20" spans="1:12" s="15" customFormat="1" x14ac:dyDescent="0.25">
      <c r="A20" s="14" t="s">
        <v>59</v>
      </c>
      <c r="B20" s="14">
        <v>2601029</v>
      </c>
      <c r="C20" s="14" t="s">
        <v>67</v>
      </c>
      <c r="D20" s="5">
        <v>2301</v>
      </c>
      <c r="E20" s="14" t="s">
        <v>69</v>
      </c>
      <c r="F20" s="5">
        <v>1</v>
      </c>
      <c r="G20" s="7">
        <v>288.75</v>
      </c>
      <c r="H20" s="5">
        <v>288.75</v>
      </c>
      <c r="I20" s="5">
        <v>290.25</v>
      </c>
      <c r="J20" s="8">
        <v>443.25</v>
      </c>
      <c r="K20" s="5">
        <v>443.25</v>
      </c>
      <c r="L20" s="5">
        <v>407.5</v>
      </c>
    </row>
    <row r="21" spans="1:12" s="15" customFormat="1" x14ac:dyDescent="0.25">
      <c r="A21" s="14" t="s">
        <v>107</v>
      </c>
      <c r="B21" s="14">
        <v>2607001</v>
      </c>
      <c r="C21" s="14" t="s">
        <v>113</v>
      </c>
      <c r="D21" s="5">
        <v>1398</v>
      </c>
      <c r="E21" s="14" t="s">
        <v>108</v>
      </c>
      <c r="F21" s="5">
        <v>1</v>
      </c>
      <c r="G21" s="7">
        <v>72</v>
      </c>
      <c r="H21" s="5">
        <v>72</v>
      </c>
      <c r="I21" s="5">
        <v>108.5</v>
      </c>
      <c r="J21" s="8">
        <v>443</v>
      </c>
      <c r="K21" s="5">
        <v>265</v>
      </c>
      <c r="L21" s="5">
        <v>443</v>
      </c>
    </row>
    <row r="22" spans="1:12" s="15" customFormat="1" x14ac:dyDescent="0.25">
      <c r="A22" s="14" t="s">
        <v>39</v>
      </c>
      <c r="B22" s="14">
        <v>2605008</v>
      </c>
      <c r="C22" s="14" t="s">
        <v>45</v>
      </c>
      <c r="D22" s="5">
        <v>2698</v>
      </c>
      <c r="E22" s="14" t="s">
        <v>47</v>
      </c>
      <c r="F22" s="5">
        <v>1</v>
      </c>
      <c r="G22" s="7">
        <v>148</v>
      </c>
      <c r="H22" s="5">
        <v>195.5</v>
      </c>
      <c r="I22" s="5">
        <v>148</v>
      </c>
      <c r="J22" s="8">
        <v>441.75</v>
      </c>
      <c r="K22" s="5">
        <v>441.75</v>
      </c>
      <c r="L22" s="5">
        <v>426.75</v>
      </c>
    </row>
    <row r="23" spans="1:12" s="15" customFormat="1" x14ac:dyDescent="0.25">
      <c r="A23" s="14" t="s">
        <v>59</v>
      </c>
      <c r="B23" s="14">
        <v>2601025</v>
      </c>
      <c r="C23" s="14" t="s">
        <v>99</v>
      </c>
      <c r="D23" s="5">
        <v>1539</v>
      </c>
      <c r="E23" s="14" t="s">
        <v>47</v>
      </c>
      <c r="F23" s="5">
        <v>1</v>
      </c>
      <c r="G23" s="7">
        <v>215</v>
      </c>
      <c r="H23" s="5">
        <v>236.5</v>
      </c>
      <c r="I23" s="5">
        <v>215</v>
      </c>
      <c r="J23" s="8">
        <v>441</v>
      </c>
      <c r="K23" s="5">
        <v>239</v>
      </c>
      <c r="L23" s="5">
        <v>441</v>
      </c>
    </row>
    <row r="24" spans="1:12" s="15" customFormat="1" x14ac:dyDescent="0.25">
      <c r="A24" s="14" t="s">
        <v>53</v>
      </c>
      <c r="B24" s="14">
        <v>2603008</v>
      </c>
      <c r="C24" s="14" t="s">
        <v>58</v>
      </c>
      <c r="D24" s="5">
        <v>1775</v>
      </c>
      <c r="E24" s="14" t="s">
        <v>29</v>
      </c>
      <c r="F24" s="5">
        <v>1</v>
      </c>
      <c r="G24" s="7">
        <v>228.5</v>
      </c>
      <c r="H24" s="5">
        <v>229</v>
      </c>
      <c r="I24" s="5">
        <v>228.5</v>
      </c>
      <c r="J24" s="8">
        <v>440</v>
      </c>
      <c r="K24" s="5">
        <v>287</v>
      </c>
      <c r="L24" s="5">
        <v>440</v>
      </c>
    </row>
    <row r="25" spans="1:12" s="15" customFormat="1" x14ac:dyDescent="0.25">
      <c r="A25" s="14" t="s">
        <v>59</v>
      </c>
      <c r="B25" s="14">
        <v>2601034</v>
      </c>
      <c r="C25" s="14" t="s">
        <v>72</v>
      </c>
      <c r="D25" s="5">
        <v>1989</v>
      </c>
      <c r="E25" s="14" t="s">
        <v>73</v>
      </c>
      <c r="F25" s="5">
        <v>0.5</v>
      </c>
      <c r="G25" s="7">
        <v>297.5</v>
      </c>
      <c r="H25" s="5">
        <v>297.5</v>
      </c>
      <c r="I25" s="5">
        <v>301.5</v>
      </c>
      <c r="J25" s="8">
        <v>438.5</v>
      </c>
      <c r="K25" s="5">
        <v>438.5</v>
      </c>
      <c r="L25" s="5">
        <v>371.5</v>
      </c>
    </row>
    <row r="26" spans="1:12" s="15" customFormat="1" x14ac:dyDescent="0.25">
      <c r="A26" s="14" t="s">
        <v>39</v>
      </c>
      <c r="B26" s="14">
        <v>2605008</v>
      </c>
      <c r="C26" s="14" t="s">
        <v>45</v>
      </c>
      <c r="D26" s="5">
        <v>2696</v>
      </c>
      <c r="E26" s="14" t="s">
        <v>46</v>
      </c>
      <c r="F26" s="5">
        <v>1</v>
      </c>
      <c r="G26" s="7">
        <v>80.5</v>
      </c>
      <c r="H26" s="5">
        <v>80.5</v>
      </c>
      <c r="I26" s="5">
        <v>197</v>
      </c>
      <c r="J26" s="8">
        <v>437.75</v>
      </c>
      <c r="K26" s="5">
        <v>326.5</v>
      </c>
      <c r="L26" s="5">
        <v>437.75</v>
      </c>
    </row>
    <row r="27" spans="1:12" s="15" customFormat="1" x14ac:dyDescent="0.25">
      <c r="A27" s="13" t="s">
        <v>13</v>
      </c>
      <c r="B27" s="13">
        <v>2602019</v>
      </c>
      <c r="C27" s="13" t="s">
        <v>111</v>
      </c>
      <c r="D27" s="3">
        <v>1766</v>
      </c>
      <c r="E27" s="13" t="s">
        <v>19</v>
      </c>
      <c r="F27" s="3">
        <v>1</v>
      </c>
      <c r="G27" s="7">
        <v>297.5</v>
      </c>
      <c r="H27" s="3">
        <v>297.5</v>
      </c>
      <c r="I27" s="3">
        <v>304</v>
      </c>
      <c r="J27" s="8">
        <v>436.5</v>
      </c>
      <c r="K27" s="3">
        <v>436.5</v>
      </c>
      <c r="L27" s="3">
        <v>432</v>
      </c>
    </row>
    <row r="28" spans="1:12" s="15" customFormat="1" x14ac:dyDescent="0.25">
      <c r="A28" s="14" t="s">
        <v>59</v>
      </c>
      <c r="B28" s="14">
        <v>2601034</v>
      </c>
      <c r="C28" s="14" t="s">
        <v>72</v>
      </c>
      <c r="D28" s="5">
        <v>4371</v>
      </c>
      <c r="E28" s="14" t="s">
        <v>75</v>
      </c>
      <c r="F28" s="5">
        <v>0.5</v>
      </c>
      <c r="G28" s="7">
        <v>321.5</v>
      </c>
      <c r="H28" s="5">
        <v>339.5</v>
      </c>
      <c r="I28" s="5">
        <v>321.5</v>
      </c>
      <c r="J28" s="8">
        <v>433</v>
      </c>
      <c r="K28" s="5">
        <v>339.5</v>
      </c>
      <c r="L28" s="5">
        <v>433</v>
      </c>
    </row>
    <row r="29" spans="1:12" s="15" customFormat="1" x14ac:dyDescent="0.25">
      <c r="A29" s="14" t="s">
        <v>59</v>
      </c>
      <c r="B29" s="14">
        <v>2601034</v>
      </c>
      <c r="C29" s="14" t="s">
        <v>72</v>
      </c>
      <c r="D29" s="5">
        <v>4372</v>
      </c>
      <c r="E29" s="14" t="s">
        <v>76</v>
      </c>
      <c r="F29" s="5">
        <v>0.5</v>
      </c>
      <c r="G29" s="7">
        <v>323.5</v>
      </c>
      <c r="H29" s="5">
        <v>428</v>
      </c>
      <c r="I29" s="5">
        <v>323.5</v>
      </c>
      <c r="J29" s="8">
        <v>428</v>
      </c>
      <c r="K29" s="5">
        <v>428</v>
      </c>
      <c r="L29" s="5">
        <v>364</v>
      </c>
    </row>
    <row r="30" spans="1:12" s="15" customFormat="1" x14ac:dyDescent="0.25">
      <c r="A30" s="14" t="s">
        <v>39</v>
      </c>
      <c r="B30" s="14">
        <v>2605008</v>
      </c>
      <c r="C30" s="14" t="s">
        <v>45</v>
      </c>
      <c r="D30" s="5">
        <v>2694</v>
      </c>
      <c r="E30" s="14" t="s">
        <v>29</v>
      </c>
      <c r="F30" s="5">
        <v>1</v>
      </c>
      <c r="G30" s="7">
        <v>238.75</v>
      </c>
      <c r="H30" s="5">
        <v>251</v>
      </c>
      <c r="I30" s="5">
        <v>238.75</v>
      </c>
      <c r="J30" s="8">
        <v>416</v>
      </c>
      <c r="K30" s="5">
        <v>401</v>
      </c>
      <c r="L30" s="5">
        <v>416</v>
      </c>
    </row>
    <row r="31" spans="1:12" s="15" customFormat="1" x14ac:dyDescent="0.25">
      <c r="A31" s="14" t="s">
        <v>39</v>
      </c>
      <c r="B31" s="14">
        <v>2605016</v>
      </c>
      <c r="C31" s="14" t="s">
        <v>40</v>
      </c>
      <c r="D31" s="5">
        <v>1434</v>
      </c>
      <c r="E31" s="14" t="s">
        <v>44</v>
      </c>
      <c r="F31" s="5">
        <v>1</v>
      </c>
      <c r="G31" s="7">
        <v>159.5</v>
      </c>
      <c r="H31" s="5">
        <v>170</v>
      </c>
      <c r="I31" s="5">
        <v>159.5</v>
      </c>
      <c r="J31" s="8">
        <v>414</v>
      </c>
      <c r="K31" s="5">
        <v>406.75</v>
      </c>
      <c r="L31" s="5">
        <v>414</v>
      </c>
    </row>
    <row r="32" spans="1:12" s="15" customFormat="1" x14ac:dyDescent="0.25">
      <c r="A32" s="14" t="s">
        <v>59</v>
      </c>
      <c r="B32" s="14">
        <v>2601034</v>
      </c>
      <c r="C32" s="14" t="s">
        <v>72</v>
      </c>
      <c r="D32" s="5">
        <v>1881</v>
      </c>
      <c r="E32" s="14" t="s">
        <v>78</v>
      </c>
      <c r="F32" s="5">
        <v>1</v>
      </c>
      <c r="G32" s="7">
        <v>284.5</v>
      </c>
      <c r="H32" s="5">
        <v>285.5</v>
      </c>
      <c r="I32" s="5">
        <v>284.5</v>
      </c>
      <c r="J32" s="8">
        <v>414</v>
      </c>
      <c r="K32" s="5">
        <v>393</v>
      </c>
      <c r="L32" s="5">
        <v>414</v>
      </c>
    </row>
    <row r="33" spans="1:12" s="15" customFormat="1" x14ac:dyDescent="0.25">
      <c r="A33" s="14" t="s">
        <v>106</v>
      </c>
      <c r="B33" s="14">
        <v>2607002</v>
      </c>
      <c r="C33" s="14" t="s">
        <v>31</v>
      </c>
      <c r="D33" s="5">
        <v>2573</v>
      </c>
      <c r="E33" s="14" t="s">
        <v>44</v>
      </c>
      <c r="F33" s="5">
        <v>1</v>
      </c>
      <c r="G33" s="7">
        <v>65</v>
      </c>
      <c r="H33" s="5">
        <v>65</v>
      </c>
      <c r="I33" s="5">
        <v>80.5</v>
      </c>
      <c r="J33" s="8">
        <v>413.5</v>
      </c>
      <c r="K33" s="5">
        <v>413.5</v>
      </c>
      <c r="L33" s="5">
        <v>344</v>
      </c>
    </row>
    <row r="34" spans="1:12" s="15" customFormat="1" x14ac:dyDescent="0.25">
      <c r="A34" s="14" t="s">
        <v>51</v>
      </c>
      <c r="B34" s="14">
        <v>2611018</v>
      </c>
      <c r="C34" s="14" t="s">
        <v>45</v>
      </c>
      <c r="D34" s="5">
        <v>3086</v>
      </c>
      <c r="E34" s="14" t="s">
        <v>47</v>
      </c>
      <c r="F34" s="5">
        <v>1</v>
      </c>
      <c r="G34" s="7">
        <v>85</v>
      </c>
      <c r="H34" s="5">
        <v>274</v>
      </c>
      <c r="I34" s="5">
        <v>85</v>
      </c>
      <c r="J34" s="8">
        <v>411</v>
      </c>
      <c r="K34" s="5">
        <v>391.5</v>
      </c>
      <c r="L34" s="5">
        <v>411</v>
      </c>
    </row>
    <row r="35" spans="1:12" s="15" customFormat="1" x14ac:dyDescent="0.25">
      <c r="A35" s="14" t="s">
        <v>13</v>
      </c>
      <c r="B35" s="14">
        <v>2602020</v>
      </c>
      <c r="C35" s="14" t="s">
        <v>112</v>
      </c>
      <c r="D35" s="5">
        <v>1640</v>
      </c>
      <c r="E35" s="14" t="s">
        <v>25</v>
      </c>
      <c r="F35" s="5">
        <v>1</v>
      </c>
      <c r="G35" s="7">
        <v>268.5</v>
      </c>
      <c r="H35" s="5">
        <v>268.5</v>
      </c>
      <c r="I35" s="5">
        <v>272</v>
      </c>
      <c r="J35" s="8">
        <v>409.25</v>
      </c>
      <c r="K35" s="5">
        <v>317.75</v>
      </c>
      <c r="L35" s="5">
        <v>409.25</v>
      </c>
    </row>
    <row r="36" spans="1:12" s="15" customFormat="1" x14ac:dyDescent="0.25">
      <c r="A36" s="14" t="s">
        <v>59</v>
      </c>
      <c r="B36" s="14">
        <v>2601034</v>
      </c>
      <c r="C36" s="14" t="s">
        <v>72</v>
      </c>
      <c r="D36" s="5">
        <v>1953</v>
      </c>
      <c r="E36" s="14" t="s">
        <v>77</v>
      </c>
      <c r="F36" s="5">
        <v>1</v>
      </c>
      <c r="G36" s="7">
        <v>261.5</v>
      </c>
      <c r="H36" s="5">
        <v>261.5</v>
      </c>
      <c r="I36" s="5">
        <v>264</v>
      </c>
      <c r="J36" s="8">
        <v>407.5</v>
      </c>
      <c r="K36" s="5">
        <v>407.5</v>
      </c>
      <c r="L36" s="5">
        <v>290</v>
      </c>
    </row>
    <row r="37" spans="1:12" s="15" customFormat="1" x14ac:dyDescent="0.25">
      <c r="A37" s="13" t="s">
        <v>13</v>
      </c>
      <c r="B37" s="13">
        <v>2602019</v>
      </c>
      <c r="C37" s="13" t="s">
        <v>111</v>
      </c>
      <c r="D37" s="3">
        <v>1761</v>
      </c>
      <c r="E37" s="13" t="s">
        <v>18</v>
      </c>
      <c r="F37" s="3">
        <v>1</v>
      </c>
      <c r="G37" s="7">
        <v>171</v>
      </c>
      <c r="H37" s="3">
        <v>187</v>
      </c>
      <c r="I37" s="3">
        <v>171</v>
      </c>
      <c r="J37" s="8">
        <v>404</v>
      </c>
      <c r="K37" s="3">
        <v>359.5</v>
      </c>
      <c r="L37" s="3">
        <v>404</v>
      </c>
    </row>
    <row r="38" spans="1:12" s="15" customFormat="1" x14ac:dyDescent="0.25">
      <c r="A38" s="14" t="s">
        <v>39</v>
      </c>
      <c r="B38" s="14">
        <v>2605016</v>
      </c>
      <c r="C38" s="14" t="s">
        <v>40</v>
      </c>
      <c r="D38" s="5">
        <v>4041</v>
      </c>
      <c r="E38" s="14" t="s">
        <v>41</v>
      </c>
      <c r="F38" s="5">
        <v>1</v>
      </c>
      <c r="G38" s="7">
        <v>79</v>
      </c>
      <c r="H38" s="5">
        <v>79</v>
      </c>
      <c r="I38" s="5">
        <v>134.5</v>
      </c>
      <c r="J38" s="8">
        <v>398</v>
      </c>
      <c r="K38" s="5">
        <v>312.5</v>
      </c>
      <c r="L38" s="5">
        <v>398</v>
      </c>
    </row>
    <row r="39" spans="1:12" s="15" customFormat="1" x14ac:dyDescent="0.25">
      <c r="A39" s="14" t="s">
        <v>59</v>
      </c>
      <c r="B39" s="14">
        <v>2601028</v>
      </c>
      <c r="C39" s="14" t="s">
        <v>60</v>
      </c>
      <c r="D39" s="5">
        <v>2614</v>
      </c>
      <c r="E39" s="14" t="s">
        <v>64</v>
      </c>
      <c r="F39" s="5">
        <v>1</v>
      </c>
      <c r="G39" s="7">
        <v>300</v>
      </c>
      <c r="H39" s="5">
        <v>300</v>
      </c>
      <c r="I39" s="5">
        <v>301</v>
      </c>
      <c r="J39" s="8">
        <v>394.5</v>
      </c>
      <c r="K39" s="5">
        <v>391.5</v>
      </c>
      <c r="L39" s="5">
        <v>394.5</v>
      </c>
    </row>
    <row r="40" spans="1:12" s="15" customFormat="1" x14ac:dyDescent="0.25">
      <c r="A40" s="14" t="s">
        <v>59</v>
      </c>
      <c r="B40" s="14">
        <v>2601028</v>
      </c>
      <c r="C40" s="14" t="s">
        <v>60</v>
      </c>
      <c r="D40" s="5">
        <v>2622</v>
      </c>
      <c r="E40" s="14" t="s">
        <v>63</v>
      </c>
      <c r="F40" s="5">
        <v>1</v>
      </c>
      <c r="G40" s="7">
        <v>308.5</v>
      </c>
      <c r="H40" s="5">
        <v>308.5</v>
      </c>
      <c r="I40" s="5">
        <v>314</v>
      </c>
      <c r="J40" s="8">
        <v>393.5</v>
      </c>
      <c r="K40" s="5">
        <v>393.5</v>
      </c>
      <c r="L40" s="5">
        <v>392.5</v>
      </c>
    </row>
    <row r="41" spans="1:12" s="15" customFormat="1" x14ac:dyDescent="0.25">
      <c r="A41" s="14" t="s">
        <v>59</v>
      </c>
      <c r="B41" s="14">
        <v>2601031</v>
      </c>
      <c r="C41" s="14" t="s">
        <v>101</v>
      </c>
      <c r="D41" s="5">
        <v>1517</v>
      </c>
      <c r="E41" s="14" t="s">
        <v>105</v>
      </c>
      <c r="F41" s="5">
        <v>1</v>
      </c>
      <c r="G41" s="7">
        <v>176.25</v>
      </c>
      <c r="H41" s="5">
        <v>179.5</v>
      </c>
      <c r="I41" s="5">
        <v>176.25</v>
      </c>
      <c r="J41" s="8">
        <v>387.5</v>
      </c>
      <c r="K41" s="5">
        <v>387.5</v>
      </c>
      <c r="L41" s="5">
        <v>262</v>
      </c>
    </row>
    <row r="42" spans="1:12" s="15" customFormat="1" x14ac:dyDescent="0.25">
      <c r="A42" s="14" t="s">
        <v>59</v>
      </c>
      <c r="B42" s="14">
        <v>2601032</v>
      </c>
      <c r="C42" s="14" t="s">
        <v>94</v>
      </c>
      <c r="D42" s="5">
        <v>3615</v>
      </c>
      <c r="E42" s="14" t="s">
        <v>97</v>
      </c>
      <c r="F42" s="5">
        <v>0.5</v>
      </c>
      <c r="G42" s="7">
        <v>234</v>
      </c>
      <c r="H42" s="5">
        <v>234</v>
      </c>
      <c r="I42" s="5">
        <v>244</v>
      </c>
      <c r="J42" s="8">
        <v>371.25</v>
      </c>
      <c r="K42" s="5">
        <v>285.25</v>
      </c>
      <c r="L42" s="5">
        <v>371.25</v>
      </c>
    </row>
    <row r="43" spans="1:12" s="15" customFormat="1" x14ac:dyDescent="0.25">
      <c r="A43" s="14" t="s">
        <v>59</v>
      </c>
      <c r="B43" s="14">
        <v>2601031</v>
      </c>
      <c r="C43" s="14" t="s">
        <v>101</v>
      </c>
      <c r="D43" s="5">
        <v>4200</v>
      </c>
      <c r="E43" s="14" t="s">
        <v>103</v>
      </c>
      <c r="F43" s="5">
        <v>1</v>
      </c>
      <c r="G43" s="7">
        <v>145</v>
      </c>
      <c r="H43" s="5">
        <v>146</v>
      </c>
      <c r="I43" s="5">
        <v>145</v>
      </c>
      <c r="J43" s="8">
        <v>352.75</v>
      </c>
      <c r="K43" s="5">
        <v>254.25</v>
      </c>
      <c r="L43" s="5">
        <v>352.75</v>
      </c>
    </row>
    <row r="44" spans="1:12" s="15" customFormat="1" x14ac:dyDescent="0.25">
      <c r="A44" s="14" t="s">
        <v>59</v>
      </c>
      <c r="B44" s="14">
        <v>2601026</v>
      </c>
      <c r="C44" s="14" t="s">
        <v>100</v>
      </c>
      <c r="D44" s="5">
        <v>1453</v>
      </c>
      <c r="E44" s="14" t="s">
        <v>28</v>
      </c>
      <c r="F44" s="5">
        <v>1</v>
      </c>
      <c r="G44" s="7">
        <v>158</v>
      </c>
      <c r="H44" s="5">
        <v>159</v>
      </c>
      <c r="I44" s="5">
        <v>158</v>
      </c>
      <c r="J44" s="8">
        <v>343</v>
      </c>
      <c r="K44" s="5">
        <v>292.5</v>
      </c>
      <c r="L44" s="5">
        <v>343</v>
      </c>
    </row>
    <row r="45" spans="1:12" s="15" customFormat="1" x14ac:dyDescent="0.25">
      <c r="A45" s="14" t="s">
        <v>13</v>
      </c>
      <c r="B45" s="14">
        <v>2602020</v>
      </c>
      <c r="C45" s="14" t="s">
        <v>112</v>
      </c>
      <c r="D45" s="5">
        <v>1655</v>
      </c>
      <c r="E45" s="14" t="s">
        <v>26</v>
      </c>
      <c r="F45" s="5">
        <v>1</v>
      </c>
      <c r="G45" s="7">
        <v>228.5</v>
      </c>
      <c r="H45" s="5">
        <v>269.75</v>
      </c>
      <c r="I45" s="5">
        <v>228.5</v>
      </c>
      <c r="J45" s="8">
        <v>334</v>
      </c>
      <c r="K45" s="5">
        <v>334</v>
      </c>
      <c r="L45" s="5">
        <v>319</v>
      </c>
    </row>
    <row r="46" spans="1:12" s="15" customFormat="1" x14ac:dyDescent="0.25">
      <c r="A46" s="14" t="s">
        <v>59</v>
      </c>
      <c r="B46" s="14">
        <v>2601032</v>
      </c>
      <c r="C46" s="14" t="s">
        <v>94</v>
      </c>
      <c r="D46" s="5">
        <v>3987</v>
      </c>
      <c r="E46" s="14" t="s">
        <v>98</v>
      </c>
      <c r="F46" s="5">
        <v>1</v>
      </c>
      <c r="G46" s="7">
        <v>155.75</v>
      </c>
      <c r="H46" s="5">
        <v>155.75</v>
      </c>
      <c r="I46" s="5">
        <v>171.5</v>
      </c>
      <c r="J46" s="8">
        <v>330</v>
      </c>
      <c r="K46" s="5">
        <v>330</v>
      </c>
      <c r="L46" s="5">
        <v>291.5</v>
      </c>
    </row>
    <row r="47" spans="1:12" s="15" customFormat="1" x14ac:dyDescent="0.25">
      <c r="A47" s="14" t="s">
        <v>13</v>
      </c>
      <c r="B47" s="14">
        <v>2602018</v>
      </c>
      <c r="C47" s="14" t="s">
        <v>27</v>
      </c>
      <c r="D47" s="5">
        <v>2463</v>
      </c>
      <c r="E47" s="14" t="s">
        <v>29</v>
      </c>
      <c r="F47" s="5">
        <v>1</v>
      </c>
      <c r="G47" s="7">
        <v>156</v>
      </c>
      <c r="H47" s="5">
        <v>156</v>
      </c>
      <c r="I47" s="5">
        <v>158</v>
      </c>
      <c r="J47" s="8">
        <v>329</v>
      </c>
      <c r="K47" s="5">
        <v>329</v>
      </c>
      <c r="L47" s="5">
        <v>249</v>
      </c>
    </row>
    <row r="48" spans="1:12" s="15" customFormat="1" x14ac:dyDescent="0.25">
      <c r="A48" s="14" t="s">
        <v>59</v>
      </c>
      <c r="B48" s="14">
        <v>2601032</v>
      </c>
      <c r="C48" s="14" t="s">
        <v>94</v>
      </c>
      <c r="D48" s="5">
        <v>2873</v>
      </c>
      <c r="E48" s="14" t="s">
        <v>96</v>
      </c>
      <c r="F48" s="5">
        <v>1</v>
      </c>
      <c r="G48" s="7">
        <v>239</v>
      </c>
      <c r="H48" s="5">
        <v>239</v>
      </c>
      <c r="I48" s="5">
        <v>258.75</v>
      </c>
      <c r="J48" s="8">
        <v>328</v>
      </c>
      <c r="K48" s="5">
        <v>328</v>
      </c>
      <c r="L48" s="5">
        <v>327</v>
      </c>
    </row>
    <row r="49" spans="1:12" s="15" customFormat="1" x14ac:dyDescent="0.25">
      <c r="A49" s="14" t="s">
        <v>59</v>
      </c>
      <c r="B49" s="14">
        <v>2601036</v>
      </c>
      <c r="C49" s="14" t="s">
        <v>84</v>
      </c>
      <c r="D49" s="5">
        <v>2893</v>
      </c>
      <c r="E49" s="14" t="s">
        <v>89</v>
      </c>
      <c r="F49" s="5">
        <v>1</v>
      </c>
      <c r="G49" s="7">
        <v>84</v>
      </c>
      <c r="H49" s="5">
        <v>84</v>
      </c>
      <c r="I49" s="5">
        <v>189</v>
      </c>
      <c r="J49" s="8">
        <v>320</v>
      </c>
      <c r="K49" s="5">
        <v>320</v>
      </c>
      <c r="L49" s="5">
        <v>189</v>
      </c>
    </row>
    <row r="50" spans="1:12" s="15" customFormat="1" x14ac:dyDescent="0.25">
      <c r="A50" s="13" t="s">
        <v>13</v>
      </c>
      <c r="B50" s="13">
        <v>2602019</v>
      </c>
      <c r="C50" s="13" t="s">
        <v>111</v>
      </c>
      <c r="D50" s="3">
        <v>1779</v>
      </c>
      <c r="E50" s="13" t="s">
        <v>17</v>
      </c>
      <c r="F50" s="3">
        <v>1</v>
      </c>
      <c r="G50" s="7">
        <v>177</v>
      </c>
      <c r="H50" s="3">
        <v>177</v>
      </c>
      <c r="I50" s="3">
        <v>208</v>
      </c>
      <c r="J50" s="8">
        <v>314.5</v>
      </c>
      <c r="K50" s="3">
        <v>314.5</v>
      </c>
      <c r="L50" s="3">
        <v>301</v>
      </c>
    </row>
    <row r="51" spans="1:12" s="15" customFormat="1" x14ac:dyDescent="0.25">
      <c r="A51" s="14" t="s">
        <v>37</v>
      </c>
      <c r="B51" s="14">
        <v>2608001</v>
      </c>
      <c r="C51" s="14" t="s">
        <v>38</v>
      </c>
      <c r="D51" s="5">
        <v>1871</v>
      </c>
      <c r="E51" s="14" t="s">
        <v>35</v>
      </c>
      <c r="F51" s="5">
        <v>1</v>
      </c>
      <c r="G51" s="7">
        <v>74</v>
      </c>
      <c r="H51" s="5">
        <v>74</v>
      </c>
      <c r="I51" s="5">
        <v>78</v>
      </c>
      <c r="J51" s="8">
        <v>311.5</v>
      </c>
      <c r="K51" s="5">
        <v>229</v>
      </c>
      <c r="L51" s="5">
        <v>311.5</v>
      </c>
    </row>
    <row r="52" spans="1:12" s="15" customFormat="1" x14ac:dyDescent="0.25">
      <c r="A52" s="14" t="s">
        <v>13</v>
      </c>
      <c r="B52" s="14">
        <v>2602018</v>
      </c>
      <c r="C52" s="14" t="s">
        <v>27</v>
      </c>
      <c r="D52" s="5">
        <v>3392</v>
      </c>
      <c r="E52" s="14" t="s">
        <v>28</v>
      </c>
      <c r="F52" s="5">
        <v>1</v>
      </c>
      <c r="G52" s="7">
        <v>165</v>
      </c>
      <c r="H52" s="5">
        <v>165</v>
      </c>
      <c r="I52" s="5">
        <v>189.25</v>
      </c>
      <c r="J52" s="8">
        <v>310.25</v>
      </c>
      <c r="K52" s="5">
        <v>283</v>
      </c>
      <c r="L52" s="5">
        <v>310.25</v>
      </c>
    </row>
    <row r="53" spans="1:12" s="15" customFormat="1" x14ac:dyDescent="0.25">
      <c r="A53" s="14" t="s">
        <v>59</v>
      </c>
      <c r="B53" s="14">
        <v>2601034</v>
      </c>
      <c r="C53" s="14" t="s">
        <v>72</v>
      </c>
      <c r="D53" s="5">
        <v>1963</v>
      </c>
      <c r="E53" s="14" t="s">
        <v>74</v>
      </c>
      <c r="F53" s="5">
        <v>0.5</v>
      </c>
      <c r="G53" s="7">
        <v>241.5</v>
      </c>
      <c r="H53" s="5">
        <v>242</v>
      </c>
      <c r="I53" s="5">
        <v>241.5</v>
      </c>
      <c r="J53" s="8">
        <v>307</v>
      </c>
      <c r="K53" s="5">
        <v>307</v>
      </c>
      <c r="L53" s="5">
        <v>290</v>
      </c>
    </row>
    <row r="54" spans="1:12" s="15" customFormat="1" x14ac:dyDescent="0.25">
      <c r="A54" s="14" t="s">
        <v>53</v>
      </c>
      <c r="B54" s="14">
        <v>2603008</v>
      </c>
      <c r="C54" s="14" t="s">
        <v>58</v>
      </c>
      <c r="D54" s="5">
        <v>3068</v>
      </c>
      <c r="E54" s="14" t="s">
        <v>46</v>
      </c>
      <c r="F54" s="5">
        <v>1</v>
      </c>
      <c r="G54" s="7">
        <v>194</v>
      </c>
      <c r="H54" s="5">
        <v>194</v>
      </c>
      <c r="I54" s="5">
        <v>196</v>
      </c>
      <c r="J54" s="8">
        <v>302.5</v>
      </c>
      <c r="K54" s="5">
        <v>302.5</v>
      </c>
      <c r="L54" s="5">
        <v>291.5</v>
      </c>
    </row>
    <row r="55" spans="1:12" s="15" customFormat="1" x14ac:dyDescent="0.25">
      <c r="A55" s="14" t="s">
        <v>59</v>
      </c>
      <c r="B55" s="14">
        <v>2601031</v>
      </c>
      <c r="C55" s="14" t="s">
        <v>101</v>
      </c>
      <c r="D55" s="5">
        <v>4579</v>
      </c>
      <c r="E55" s="14" t="s">
        <v>102</v>
      </c>
      <c r="F55" s="5">
        <v>1</v>
      </c>
      <c r="G55" s="7">
        <v>172.25</v>
      </c>
      <c r="H55" s="5">
        <v>172.25</v>
      </c>
      <c r="I55" s="5">
        <v>175.25</v>
      </c>
      <c r="J55" s="8">
        <v>299.5</v>
      </c>
      <c r="K55" s="5">
        <v>299.5</v>
      </c>
      <c r="L55" s="5">
        <v>283</v>
      </c>
    </row>
    <row r="56" spans="1:12" s="15" customFormat="1" x14ac:dyDescent="0.25">
      <c r="A56" s="14" t="s">
        <v>13</v>
      </c>
      <c r="B56" s="14">
        <v>2602023</v>
      </c>
      <c r="C56" s="14" t="s">
        <v>20</v>
      </c>
      <c r="D56" s="5">
        <v>2355</v>
      </c>
      <c r="E56" s="14" t="s">
        <v>22</v>
      </c>
      <c r="F56" s="5">
        <v>1</v>
      </c>
      <c r="G56" s="7">
        <v>30</v>
      </c>
      <c r="H56" s="5">
        <v>30</v>
      </c>
      <c r="I56" s="5">
        <v>0</v>
      </c>
      <c r="J56" s="8">
        <v>296.5</v>
      </c>
      <c r="K56" s="5">
        <v>296.5</v>
      </c>
      <c r="L56" s="5">
        <v>0</v>
      </c>
    </row>
    <row r="57" spans="1:12" s="15" customFormat="1" x14ac:dyDescent="0.25">
      <c r="A57" s="14" t="s">
        <v>59</v>
      </c>
      <c r="B57" s="14">
        <v>2601035</v>
      </c>
      <c r="C57" s="14" t="s">
        <v>80</v>
      </c>
      <c r="D57" s="5">
        <v>1748</v>
      </c>
      <c r="E57" s="14" t="s">
        <v>81</v>
      </c>
      <c r="F57" s="5">
        <v>1</v>
      </c>
      <c r="G57" s="7">
        <v>79</v>
      </c>
      <c r="H57" s="5">
        <v>82</v>
      </c>
      <c r="I57" s="5">
        <v>79</v>
      </c>
      <c r="J57" s="8">
        <v>296</v>
      </c>
      <c r="K57" s="5">
        <v>194</v>
      </c>
      <c r="L57" s="5">
        <v>296</v>
      </c>
    </row>
    <row r="58" spans="1:12" s="15" customFormat="1" x14ac:dyDescent="0.25">
      <c r="A58" s="14" t="s">
        <v>48</v>
      </c>
      <c r="B58" s="14">
        <v>2604004</v>
      </c>
      <c r="C58" s="14" t="s">
        <v>49</v>
      </c>
      <c r="D58" s="5">
        <v>3257</v>
      </c>
      <c r="E58" s="14" t="s">
        <v>50</v>
      </c>
      <c r="F58" s="5">
        <v>1</v>
      </c>
      <c r="G58" s="7">
        <v>41</v>
      </c>
      <c r="H58" s="5">
        <v>41</v>
      </c>
      <c r="I58" s="5">
        <v>41</v>
      </c>
      <c r="J58" s="8">
        <v>294.5</v>
      </c>
      <c r="K58" s="5">
        <v>294.5</v>
      </c>
      <c r="L58" s="5">
        <v>41</v>
      </c>
    </row>
    <row r="59" spans="1:12" s="15" customFormat="1" x14ac:dyDescent="0.25">
      <c r="A59" s="14" t="s">
        <v>59</v>
      </c>
      <c r="B59" s="14">
        <v>2601031</v>
      </c>
      <c r="C59" s="14" t="s">
        <v>101</v>
      </c>
      <c r="D59" s="5">
        <v>1512</v>
      </c>
      <c r="E59" s="14" t="s">
        <v>104</v>
      </c>
      <c r="F59" s="5">
        <v>1</v>
      </c>
      <c r="G59" s="7">
        <v>173</v>
      </c>
      <c r="H59" s="5">
        <v>173</v>
      </c>
      <c r="I59" s="5">
        <v>173.5</v>
      </c>
      <c r="J59" s="8">
        <v>293.5</v>
      </c>
      <c r="K59" s="5">
        <v>247.5</v>
      </c>
      <c r="L59" s="5">
        <v>293.5</v>
      </c>
    </row>
    <row r="60" spans="1:12" s="15" customFormat="1" x14ac:dyDescent="0.25">
      <c r="A60" s="14" t="s">
        <v>53</v>
      </c>
      <c r="B60" s="14">
        <v>2603009</v>
      </c>
      <c r="C60" s="14" t="s">
        <v>54</v>
      </c>
      <c r="D60" s="5">
        <v>4509</v>
      </c>
      <c r="E60" s="14" t="s">
        <v>55</v>
      </c>
      <c r="F60" s="5">
        <v>1</v>
      </c>
      <c r="G60" s="7">
        <v>30</v>
      </c>
      <c r="H60" s="5">
        <v>30</v>
      </c>
      <c r="I60" s="5">
        <v>30</v>
      </c>
      <c r="J60" s="8">
        <v>292</v>
      </c>
      <c r="K60" s="5">
        <v>175</v>
      </c>
      <c r="L60" s="5">
        <v>292</v>
      </c>
    </row>
    <row r="61" spans="1:12" s="15" customFormat="1" x14ac:dyDescent="0.25">
      <c r="A61" s="14" t="s">
        <v>59</v>
      </c>
      <c r="B61" s="14">
        <v>2601032</v>
      </c>
      <c r="C61" s="14" t="s">
        <v>94</v>
      </c>
      <c r="D61" s="5">
        <v>3986</v>
      </c>
      <c r="E61" s="14" t="s">
        <v>44</v>
      </c>
      <c r="F61" s="5">
        <v>0.5</v>
      </c>
      <c r="G61" s="7">
        <v>188.75</v>
      </c>
      <c r="H61" s="5">
        <v>193</v>
      </c>
      <c r="I61" s="5">
        <v>188.75</v>
      </c>
      <c r="J61" s="8">
        <v>287.5</v>
      </c>
      <c r="K61" s="5">
        <v>285.25</v>
      </c>
      <c r="L61" s="5">
        <v>287.5</v>
      </c>
    </row>
    <row r="62" spans="1:12" s="15" customFormat="1" x14ac:dyDescent="0.25">
      <c r="A62" s="14" t="s">
        <v>59</v>
      </c>
      <c r="B62" s="14">
        <v>2601032</v>
      </c>
      <c r="C62" s="14" t="s">
        <v>94</v>
      </c>
      <c r="D62" s="5">
        <v>2879</v>
      </c>
      <c r="E62" s="14" t="s">
        <v>95</v>
      </c>
      <c r="F62" s="5">
        <v>1</v>
      </c>
      <c r="G62" s="7">
        <v>169.5</v>
      </c>
      <c r="H62" s="5">
        <v>170</v>
      </c>
      <c r="I62" s="5">
        <v>169.5</v>
      </c>
      <c r="J62" s="8">
        <v>282</v>
      </c>
      <c r="K62" s="5">
        <v>282</v>
      </c>
      <c r="L62" s="5">
        <v>257.5</v>
      </c>
    </row>
    <row r="63" spans="1:12" s="15" customFormat="1" x14ac:dyDescent="0.25">
      <c r="A63" s="14" t="s">
        <v>59</v>
      </c>
      <c r="B63" s="14">
        <v>2601036</v>
      </c>
      <c r="C63" s="14" t="s">
        <v>84</v>
      </c>
      <c r="D63" s="5">
        <v>3386</v>
      </c>
      <c r="E63" s="14" t="s">
        <v>87</v>
      </c>
      <c r="F63" s="5">
        <v>1</v>
      </c>
      <c r="G63" s="7">
        <v>52</v>
      </c>
      <c r="H63" s="5">
        <v>52</v>
      </c>
      <c r="I63" s="5">
        <v>110</v>
      </c>
      <c r="J63" s="8">
        <v>281</v>
      </c>
      <c r="K63" s="5">
        <v>281</v>
      </c>
      <c r="L63" s="5">
        <v>242</v>
      </c>
    </row>
    <row r="64" spans="1:12" s="15" customFormat="1" x14ac:dyDescent="0.25">
      <c r="A64" s="14" t="s">
        <v>59</v>
      </c>
      <c r="B64" s="14">
        <v>2601036</v>
      </c>
      <c r="C64" s="14" t="s">
        <v>84</v>
      </c>
      <c r="D64" s="5">
        <v>2890</v>
      </c>
      <c r="E64" s="14" t="s">
        <v>86</v>
      </c>
      <c r="F64" s="5">
        <v>0.5</v>
      </c>
      <c r="G64" s="7">
        <v>187</v>
      </c>
      <c r="H64" s="5">
        <v>187</v>
      </c>
      <c r="I64" s="5">
        <v>0</v>
      </c>
      <c r="J64" s="8">
        <v>278</v>
      </c>
      <c r="K64" s="5">
        <v>278</v>
      </c>
      <c r="L64" s="5">
        <v>0</v>
      </c>
    </row>
    <row r="65" spans="1:12" s="15" customFormat="1" x14ac:dyDescent="0.25">
      <c r="A65" s="14" t="s">
        <v>59</v>
      </c>
      <c r="B65" s="14">
        <v>2601035</v>
      </c>
      <c r="C65" s="14" t="s">
        <v>80</v>
      </c>
      <c r="D65" s="5">
        <v>1772</v>
      </c>
      <c r="E65" s="14" t="s">
        <v>83</v>
      </c>
      <c r="F65" s="5">
        <v>1</v>
      </c>
      <c r="G65" s="7">
        <v>112</v>
      </c>
      <c r="H65" s="5">
        <v>112</v>
      </c>
      <c r="I65" s="5">
        <v>116</v>
      </c>
      <c r="J65" s="8">
        <v>277.5</v>
      </c>
      <c r="K65" s="5">
        <v>246</v>
      </c>
      <c r="L65" s="5">
        <v>277.5</v>
      </c>
    </row>
    <row r="66" spans="1:12" s="15" customFormat="1" x14ac:dyDescent="0.25">
      <c r="A66" s="14" t="s">
        <v>59</v>
      </c>
      <c r="B66" s="14">
        <v>2601904</v>
      </c>
      <c r="C66" s="14" t="s">
        <v>90</v>
      </c>
      <c r="D66" s="5">
        <v>3927</v>
      </c>
      <c r="E66" s="14" t="s">
        <v>91</v>
      </c>
      <c r="F66" s="5">
        <v>1</v>
      </c>
      <c r="G66" s="7">
        <v>115</v>
      </c>
      <c r="H66" s="5">
        <v>115</v>
      </c>
      <c r="I66" s="5">
        <v>0</v>
      </c>
      <c r="J66" s="8">
        <v>276.75</v>
      </c>
      <c r="K66" s="5">
        <v>276.75</v>
      </c>
      <c r="L66" s="5">
        <v>0</v>
      </c>
    </row>
    <row r="67" spans="1:12" s="15" customFormat="1" x14ac:dyDescent="0.25">
      <c r="A67" s="14" t="s">
        <v>39</v>
      </c>
      <c r="B67" s="14">
        <v>2605016</v>
      </c>
      <c r="C67" s="14" t="s">
        <v>40</v>
      </c>
      <c r="D67" s="5">
        <v>1425</v>
      </c>
      <c r="E67" s="14" t="s">
        <v>42</v>
      </c>
      <c r="F67" s="5">
        <v>1</v>
      </c>
      <c r="G67" s="7">
        <v>111</v>
      </c>
      <c r="H67" s="5">
        <v>115</v>
      </c>
      <c r="I67" s="5">
        <v>111</v>
      </c>
      <c r="J67" s="8">
        <v>265.5</v>
      </c>
      <c r="K67" s="5">
        <v>251</v>
      </c>
      <c r="L67" s="5">
        <v>265.5</v>
      </c>
    </row>
    <row r="68" spans="1:12" s="15" customFormat="1" x14ac:dyDescent="0.25">
      <c r="A68" s="14" t="s">
        <v>13</v>
      </c>
      <c r="B68" s="14">
        <v>2602023</v>
      </c>
      <c r="C68" s="14" t="s">
        <v>20</v>
      </c>
      <c r="D68" s="5">
        <v>3929</v>
      </c>
      <c r="E68" s="14" t="s">
        <v>23</v>
      </c>
      <c r="F68" s="5">
        <v>1</v>
      </c>
      <c r="G68" s="7">
        <v>74</v>
      </c>
      <c r="H68" s="5">
        <v>0</v>
      </c>
      <c r="I68" s="5">
        <v>74</v>
      </c>
      <c r="J68" s="8">
        <v>261</v>
      </c>
      <c r="K68" s="5">
        <v>0</v>
      </c>
      <c r="L68" s="5">
        <v>261</v>
      </c>
    </row>
    <row r="69" spans="1:12" s="15" customFormat="1" x14ac:dyDescent="0.25">
      <c r="A69" s="14" t="s">
        <v>51</v>
      </c>
      <c r="B69" s="14">
        <v>2611018</v>
      </c>
      <c r="C69" s="14" t="s">
        <v>45</v>
      </c>
      <c r="D69" s="5">
        <v>2653</v>
      </c>
      <c r="E69" s="14" t="s">
        <v>35</v>
      </c>
      <c r="F69" s="5">
        <v>1</v>
      </c>
      <c r="G69" s="7">
        <v>30</v>
      </c>
      <c r="H69" s="5">
        <v>30</v>
      </c>
      <c r="I69" s="5">
        <v>78</v>
      </c>
      <c r="J69" s="8">
        <v>254</v>
      </c>
      <c r="K69" s="5">
        <v>254</v>
      </c>
      <c r="L69" s="5">
        <v>142</v>
      </c>
    </row>
    <row r="70" spans="1:12" s="15" customFormat="1" x14ac:dyDescent="0.25">
      <c r="A70" s="14" t="s">
        <v>33</v>
      </c>
      <c r="B70" s="14">
        <v>2606005</v>
      </c>
      <c r="C70" s="14" t="s">
        <v>34</v>
      </c>
      <c r="D70" s="5">
        <v>4005</v>
      </c>
      <c r="E70" s="14" t="s">
        <v>21</v>
      </c>
      <c r="F70" s="5">
        <v>0.5</v>
      </c>
      <c r="G70" s="7">
        <v>88</v>
      </c>
      <c r="H70" s="5">
        <v>123</v>
      </c>
      <c r="I70" s="5">
        <v>88</v>
      </c>
      <c r="J70" s="8">
        <v>253</v>
      </c>
      <c r="K70" s="5">
        <v>233</v>
      </c>
      <c r="L70" s="5">
        <v>253</v>
      </c>
    </row>
    <row r="71" spans="1:12" s="15" customFormat="1" x14ac:dyDescent="0.25">
      <c r="A71" s="14" t="s">
        <v>51</v>
      </c>
      <c r="B71" s="14">
        <v>2611018</v>
      </c>
      <c r="C71" s="14" t="s">
        <v>45</v>
      </c>
      <c r="D71" s="5">
        <v>2643</v>
      </c>
      <c r="E71" s="14" t="s">
        <v>52</v>
      </c>
      <c r="F71" s="5">
        <v>1</v>
      </c>
      <c r="G71" s="7">
        <v>82</v>
      </c>
      <c r="H71" s="5">
        <v>82</v>
      </c>
      <c r="I71" s="5">
        <v>182</v>
      </c>
      <c r="J71" s="8">
        <v>252</v>
      </c>
      <c r="K71" s="5">
        <v>252</v>
      </c>
      <c r="L71" s="5">
        <v>248</v>
      </c>
    </row>
    <row r="72" spans="1:12" s="15" customFormat="1" x14ac:dyDescent="0.25">
      <c r="A72" s="14" t="s">
        <v>48</v>
      </c>
      <c r="B72" s="14">
        <v>2604004</v>
      </c>
      <c r="C72" s="14" t="s">
        <v>49</v>
      </c>
      <c r="D72" s="5">
        <v>1533</v>
      </c>
      <c r="E72" s="14" t="s">
        <v>21</v>
      </c>
      <c r="F72" s="5">
        <v>1</v>
      </c>
      <c r="G72" s="7">
        <v>54</v>
      </c>
      <c r="H72" s="5">
        <v>54</v>
      </c>
      <c r="I72" s="5">
        <v>62</v>
      </c>
      <c r="J72" s="8">
        <v>245</v>
      </c>
      <c r="K72" s="5">
        <v>196</v>
      </c>
      <c r="L72" s="5">
        <v>245</v>
      </c>
    </row>
    <row r="73" spans="1:12" s="15" customFormat="1" x14ac:dyDescent="0.25">
      <c r="A73" s="14" t="s">
        <v>59</v>
      </c>
      <c r="B73" s="14">
        <v>2601036</v>
      </c>
      <c r="C73" s="14" t="s">
        <v>84</v>
      </c>
      <c r="D73" s="5">
        <v>4540</v>
      </c>
      <c r="E73" s="14" t="s">
        <v>88</v>
      </c>
      <c r="F73" s="5">
        <v>1</v>
      </c>
      <c r="G73" s="7">
        <v>122</v>
      </c>
      <c r="H73" s="5">
        <v>122</v>
      </c>
      <c r="I73" s="5">
        <v>134</v>
      </c>
      <c r="J73" s="8">
        <v>238</v>
      </c>
      <c r="K73" s="5">
        <v>236</v>
      </c>
      <c r="L73" s="5">
        <v>238</v>
      </c>
    </row>
    <row r="74" spans="1:12" s="15" customFormat="1" x14ac:dyDescent="0.25">
      <c r="A74" s="14" t="s">
        <v>53</v>
      </c>
      <c r="B74" s="14">
        <v>2603009</v>
      </c>
      <c r="C74" s="14" t="s">
        <v>54</v>
      </c>
      <c r="D74" s="5">
        <v>1901</v>
      </c>
      <c r="E74" s="14" t="s">
        <v>57</v>
      </c>
      <c r="F74" s="5">
        <v>1</v>
      </c>
      <c r="G74" s="7">
        <v>30</v>
      </c>
      <c r="H74" s="5">
        <v>30</v>
      </c>
      <c r="I74" s="5">
        <v>122</v>
      </c>
      <c r="J74" s="8">
        <v>237</v>
      </c>
      <c r="K74" s="5">
        <v>193</v>
      </c>
      <c r="L74" s="5">
        <v>237</v>
      </c>
    </row>
    <row r="75" spans="1:12" s="15" customFormat="1" x14ac:dyDescent="0.25">
      <c r="A75" s="14" t="s">
        <v>39</v>
      </c>
      <c r="B75" s="14">
        <v>2605016</v>
      </c>
      <c r="C75" s="14" t="s">
        <v>40</v>
      </c>
      <c r="D75" s="5">
        <v>4042</v>
      </c>
      <c r="E75" s="14" t="s">
        <v>43</v>
      </c>
      <c r="F75" s="5">
        <v>1</v>
      </c>
      <c r="G75" s="7">
        <v>84</v>
      </c>
      <c r="H75" s="5">
        <v>84</v>
      </c>
      <c r="I75" s="5">
        <v>111</v>
      </c>
      <c r="J75" s="8">
        <v>231</v>
      </c>
      <c r="K75" s="5">
        <v>231</v>
      </c>
      <c r="L75" s="5">
        <v>226</v>
      </c>
    </row>
    <row r="76" spans="1:12" s="15" customFormat="1" x14ac:dyDescent="0.25">
      <c r="A76" s="14" t="s">
        <v>59</v>
      </c>
      <c r="B76" s="14">
        <v>2601035</v>
      </c>
      <c r="C76" s="14" t="s">
        <v>80</v>
      </c>
      <c r="D76" s="5">
        <v>1768</v>
      </c>
      <c r="E76" s="14" t="s">
        <v>82</v>
      </c>
      <c r="F76" s="5">
        <v>1</v>
      </c>
      <c r="G76" s="7">
        <v>30</v>
      </c>
      <c r="H76" s="5">
        <v>59</v>
      </c>
      <c r="I76" s="5">
        <v>30</v>
      </c>
      <c r="J76" s="8">
        <v>227</v>
      </c>
      <c r="K76" s="5">
        <v>113</v>
      </c>
      <c r="L76" s="5">
        <v>227</v>
      </c>
    </row>
    <row r="77" spans="1:12" s="15" customFormat="1" x14ac:dyDescent="0.25">
      <c r="A77" s="14" t="s">
        <v>59</v>
      </c>
      <c r="B77" s="14">
        <v>2601036</v>
      </c>
      <c r="C77" s="14" t="s">
        <v>84</v>
      </c>
      <c r="D77" s="5">
        <v>1837</v>
      </c>
      <c r="E77" s="14" t="s">
        <v>85</v>
      </c>
      <c r="F77" s="5">
        <v>0.5</v>
      </c>
      <c r="G77" s="7">
        <v>138</v>
      </c>
      <c r="H77" s="5">
        <v>138</v>
      </c>
      <c r="I77" s="5">
        <v>0</v>
      </c>
      <c r="J77" s="8">
        <v>226.5</v>
      </c>
      <c r="K77" s="5">
        <v>226.5</v>
      </c>
      <c r="L77" s="5">
        <v>0</v>
      </c>
    </row>
    <row r="78" spans="1:12" s="15" customFormat="1" x14ac:dyDescent="0.25">
      <c r="A78" s="14" t="s">
        <v>59</v>
      </c>
      <c r="B78" s="14">
        <v>2601904</v>
      </c>
      <c r="C78" s="14" t="s">
        <v>90</v>
      </c>
      <c r="D78" s="5">
        <v>1829</v>
      </c>
      <c r="E78" s="14" t="s">
        <v>93</v>
      </c>
      <c r="F78" s="5">
        <v>1</v>
      </c>
      <c r="G78" s="7">
        <v>35</v>
      </c>
      <c r="H78" s="5">
        <v>103</v>
      </c>
      <c r="I78" s="5">
        <v>35</v>
      </c>
      <c r="J78" s="8">
        <v>225.5</v>
      </c>
      <c r="K78" s="5">
        <v>212</v>
      </c>
      <c r="L78" s="5">
        <v>225.5</v>
      </c>
    </row>
    <row r="79" spans="1:12" s="15" customFormat="1" x14ac:dyDescent="0.25">
      <c r="A79" s="14" t="s">
        <v>53</v>
      </c>
      <c r="B79" s="14">
        <v>2603009</v>
      </c>
      <c r="C79" s="14" t="s">
        <v>54</v>
      </c>
      <c r="D79" s="5">
        <v>1872</v>
      </c>
      <c r="E79" s="14" t="s">
        <v>56</v>
      </c>
      <c r="F79" s="5">
        <v>1</v>
      </c>
      <c r="G79" s="7">
        <v>30</v>
      </c>
      <c r="H79" s="5">
        <v>30</v>
      </c>
      <c r="I79" s="5">
        <v>76</v>
      </c>
      <c r="J79" s="8">
        <v>221</v>
      </c>
      <c r="K79" s="5">
        <v>199</v>
      </c>
      <c r="L79" s="5">
        <v>221</v>
      </c>
    </row>
    <row r="80" spans="1:12" s="15" customFormat="1" x14ac:dyDescent="0.25">
      <c r="A80" s="14" t="s">
        <v>53</v>
      </c>
      <c r="B80" s="14">
        <v>2603008</v>
      </c>
      <c r="C80" s="14" t="s">
        <v>58</v>
      </c>
      <c r="D80" s="5">
        <v>1787</v>
      </c>
      <c r="E80" s="14" t="s">
        <v>47</v>
      </c>
      <c r="F80" s="5">
        <v>1</v>
      </c>
      <c r="G80" s="7">
        <v>96</v>
      </c>
      <c r="H80" s="5">
        <v>96</v>
      </c>
      <c r="I80" s="5">
        <v>100</v>
      </c>
      <c r="J80" s="8">
        <v>214</v>
      </c>
      <c r="K80" s="5">
        <v>154</v>
      </c>
      <c r="L80" s="5">
        <v>214</v>
      </c>
    </row>
    <row r="81" spans="1:12" s="15" customFormat="1" x14ac:dyDescent="0.25">
      <c r="A81" s="14" t="s">
        <v>33</v>
      </c>
      <c r="B81" s="14">
        <v>2606005</v>
      </c>
      <c r="C81" s="14" t="s">
        <v>34</v>
      </c>
      <c r="D81" s="5">
        <v>2412</v>
      </c>
      <c r="E81" s="14" t="s">
        <v>35</v>
      </c>
      <c r="F81" s="5">
        <v>0.5</v>
      </c>
      <c r="G81" s="7">
        <v>71</v>
      </c>
      <c r="H81" s="5">
        <v>71</v>
      </c>
      <c r="I81" s="5">
        <v>192</v>
      </c>
      <c r="J81" s="8">
        <v>211</v>
      </c>
      <c r="K81" s="5">
        <v>134</v>
      </c>
      <c r="L81" s="5">
        <v>211</v>
      </c>
    </row>
    <row r="82" spans="1:12" s="15" customFormat="1" x14ac:dyDescent="0.25">
      <c r="A82" s="14" t="s">
        <v>59</v>
      </c>
      <c r="B82" s="14">
        <v>2601904</v>
      </c>
      <c r="C82" s="14" t="s">
        <v>90</v>
      </c>
      <c r="D82" s="5">
        <v>1824</v>
      </c>
      <c r="E82" s="14" t="s">
        <v>92</v>
      </c>
      <c r="F82" s="5">
        <v>1</v>
      </c>
      <c r="G82" s="7">
        <v>62</v>
      </c>
      <c r="H82" s="5">
        <v>62</v>
      </c>
      <c r="I82" s="5">
        <v>164</v>
      </c>
      <c r="J82" s="8">
        <v>209</v>
      </c>
      <c r="K82" s="5">
        <v>198</v>
      </c>
      <c r="L82" s="5">
        <v>209</v>
      </c>
    </row>
    <row r="83" spans="1:12" s="15" customFormat="1" x14ac:dyDescent="0.25">
      <c r="A83" s="13" t="s">
        <v>13</v>
      </c>
      <c r="B83" s="13">
        <v>2602003</v>
      </c>
      <c r="C83" s="13" t="s">
        <v>14</v>
      </c>
      <c r="D83" s="3">
        <v>3338</v>
      </c>
      <c r="E83" s="13" t="s">
        <v>15</v>
      </c>
      <c r="F83" s="3">
        <v>1</v>
      </c>
      <c r="G83" s="7">
        <v>55</v>
      </c>
      <c r="H83" s="3">
        <v>60</v>
      </c>
      <c r="I83" s="3">
        <v>55</v>
      </c>
      <c r="J83" s="8">
        <v>188</v>
      </c>
      <c r="K83" s="3">
        <v>145</v>
      </c>
      <c r="L83" s="3">
        <v>188</v>
      </c>
    </row>
    <row r="84" spans="1:12" s="15" customFormat="1" x14ac:dyDescent="0.25">
      <c r="A84" s="14" t="s">
        <v>109</v>
      </c>
      <c r="B84" s="14">
        <v>2609006</v>
      </c>
      <c r="C84" s="14" t="s">
        <v>110</v>
      </c>
      <c r="D84" s="5">
        <v>1392</v>
      </c>
      <c r="E84" s="14" t="s">
        <v>21</v>
      </c>
      <c r="F84" s="5">
        <v>1</v>
      </c>
      <c r="G84" s="7">
        <v>30</v>
      </c>
      <c r="H84" s="5">
        <v>30</v>
      </c>
      <c r="I84" s="5">
        <v>30</v>
      </c>
      <c r="J84" s="8">
        <v>183</v>
      </c>
      <c r="K84" s="5">
        <v>142</v>
      </c>
      <c r="L84" s="5">
        <v>183</v>
      </c>
    </row>
    <row r="85" spans="1:12" s="15" customFormat="1" x14ac:dyDescent="0.25">
      <c r="A85" s="13" t="s">
        <v>13</v>
      </c>
      <c r="B85" s="13">
        <v>2602023</v>
      </c>
      <c r="C85" s="13" t="s">
        <v>20</v>
      </c>
      <c r="D85" s="3">
        <v>2374</v>
      </c>
      <c r="E85" s="13" t="s">
        <v>21</v>
      </c>
      <c r="F85" s="3">
        <v>1</v>
      </c>
      <c r="G85" s="7">
        <v>30</v>
      </c>
      <c r="H85" s="3">
        <v>78</v>
      </c>
      <c r="I85" s="3">
        <v>30</v>
      </c>
      <c r="J85" s="8">
        <v>171</v>
      </c>
      <c r="K85" s="3">
        <v>168</v>
      </c>
      <c r="L85" s="3">
        <v>171</v>
      </c>
    </row>
  </sheetData>
  <sortState ref="A6:L85">
    <sortCondition descending="1" ref="J6:J85"/>
  </sortState>
  <mergeCells count="9">
    <mergeCell ref="G4:I4"/>
    <mergeCell ref="J4:L4"/>
    <mergeCell ref="A1:L1"/>
    <mergeCell ref="A2:L2"/>
    <mergeCell ref="A3:L3"/>
    <mergeCell ref="A4:A5"/>
    <mergeCell ref="B4:C4"/>
    <mergeCell ref="D4:E4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Дарина Станчева</cp:lastModifiedBy>
  <cp:lastPrinted>2024-07-19T10:52:49Z</cp:lastPrinted>
  <dcterms:created xsi:type="dcterms:W3CDTF">2024-07-12T12:59:20Z</dcterms:created>
  <dcterms:modified xsi:type="dcterms:W3CDTF">2024-07-19T12:29:36Z</dcterms:modified>
  <cp:category/>
</cp:coreProperties>
</file>