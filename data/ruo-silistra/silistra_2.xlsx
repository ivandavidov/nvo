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D:\Uchebna 2025-2026\Dostop OI_Ivan Davidov_06-07.2026\"/>
    </mc:Choice>
  </mc:AlternateContent>
  <bookViews>
    <workbookView xWindow="-120" yWindow="-120" windowWidth="29040" windowHeight="15720" tabRatio="500"/>
  </bookViews>
  <sheets>
    <sheet name="2023-2024" sheetId="1" r:id="rId1"/>
    <sheet name="2024-2025" sheetId="2" r:id="rId2"/>
    <sheet name="2025-2026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2" i="3" l="1"/>
  <c r="K42" i="3" l="1"/>
  <c r="H42" i="2" l="1"/>
  <c r="K42" i="2" l="1"/>
  <c r="H40" i="1" l="1"/>
  <c r="K40" i="1" l="1"/>
</calcChain>
</file>

<file path=xl/sharedStrings.xml><?xml version="1.0" encoding="utf-8"?>
<sst xmlns="http://schemas.openxmlformats.org/spreadsheetml/2006/main" count="628" uniqueCount="123">
  <si>
    <t>Община</t>
  </si>
  <si>
    <t>Нас. място</t>
  </si>
  <si>
    <t>Код</t>
  </si>
  <si>
    <t>Училище</t>
  </si>
  <si>
    <t>№</t>
  </si>
  <si>
    <t>Име</t>
  </si>
  <si>
    <t>Тип</t>
  </si>
  <si>
    <t>ГЛАВИНИЦА</t>
  </si>
  <si>
    <t>ГР.ГЛАВИНИЦА</t>
  </si>
  <si>
    <t>Средно училище "Васил Левски", ГР.ГЛАВИНИЦА</t>
  </si>
  <si>
    <t>0080</t>
  </si>
  <si>
    <t>Природни науки</t>
  </si>
  <si>
    <t>профилирана</t>
  </si>
  <si>
    <t>0083</t>
  </si>
  <si>
    <t>Механизация на селското стопанство</t>
  </si>
  <si>
    <t>професионална</t>
  </si>
  <si>
    <t>ДУЛОВО</t>
  </si>
  <si>
    <t>ГР.ДУЛОВО</t>
  </si>
  <si>
    <t>Професионална гимназия по облекло обслужване и транспорт, ГР.ДУЛОВО</t>
  </si>
  <si>
    <t>0045</t>
  </si>
  <si>
    <t>0046</t>
  </si>
  <si>
    <t>Моделиер-технолог на облекло</t>
  </si>
  <si>
    <t>0047</t>
  </si>
  <si>
    <t>Монтьор на селскостопанска техника</t>
  </si>
  <si>
    <t>Средно училище "Васил Левски", ГР.ДУЛОВО</t>
  </si>
  <si>
    <t>0088</t>
  </si>
  <si>
    <t>Хуманитарни науки</t>
  </si>
  <si>
    <t>0094</t>
  </si>
  <si>
    <t>Приложен програмист</t>
  </si>
  <si>
    <t>С.ОКОРШ</t>
  </si>
  <si>
    <t>Средно училище "Йордан Йовков", С.ОКОРШ</t>
  </si>
  <si>
    <t>Счетоводство и данъчно облагане</t>
  </si>
  <si>
    <t>С.ПАИСИЕВО</t>
  </si>
  <si>
    <t>Средно училище  "Христо Ботев", С.ПАИСИЕВО</t>
  </si>
  <si>
    <t>КАЙНАРДЖА</t>
  </si>
  <si>
    <t>С.СРЕДИЩЕ</t>
  </si>
  <si>
    <t>Професионална гимназия по механизация  на селското стопанство "Никола Йонков Вапцаров", С.СРЕДИЩЕ</t>
  </si>
  <si>
    <t>Фермер</t>
  </si>
  <si>
    <t>Пътностроителна техника</t>
  </si>
  <si>
    <t>Автотранспортна техника</t>
  </si>
  <si>
    <t>СИЛИСТРА</t>
  </si>
  <si>
    <t>ГР.СИЛИСТРА</t>
  </si>
  <si>
    <t>Езикова гимназия "Пейо Яворов", ГР.СИЛИСТРА</t>
  </si>
  <si>
    <t>Чужди езици - АЕ</t>
  </si>
  <si>
    <t>Чужди езици - НЕ</t>
  </si>
  <si>
    <t>Природоматематическа гимназия "Св.Климент Охридски", ГР.СИЛИСТРА</t>
  </si>
  <si>
    <t>0962</t>
  </si>
  <si>
    <t>Математика</t>
  </si>
  <si>
    <t>0967</t>
  </si>
  <si>
    <t>Софтуерни и хардуерни науки</t>
  </si>
  <si>
    <t>0971</t>
  </si>
  <si>
    <t>Професионална гимназия по механотехника "Владимир Комаров", ГР.СИЛИСТРА</t>
  </si>
  <si>
    <t>0136</t>
  </si>
  <si>
    <t>Компютърна техника и технологии</t>
  </si>
  <si>
    <t>0141</t>
  </si>
  <si>
    <t>Професионална гимназия по производствени технологии "Евлогий Георгиев", ГР.СИЛИСТРА</t>
  </si>
  <si>
    <t>Професионална гимназия по стопанско управление, администрация и услуги "Атанас Буров", ГР.СИЛИСТРА</t>
  </si>
  <si>
    <t>Икономист информатик</t>
  </si>
  <si>
    <t>Офис - мениджър</t>
  </si>
  <si>
    <t>Хотелиер</t>
  </si>
  <si>
    <t>Професионална гимназия по строителство "Пеньо Пенев", ГР.СИЛИСТРА</t>
  </si>
  <si>
    <t>Интериорен дизайн</t>
  </si>
  <si>
    <t>Строителство и архитектура</t>
  </si>
  <si>
    <t>Професионална земеделска гимназия "Добруджа", ГР.СИЛИСТРА</t>
  </si>
  <si>
    <t>Средно училище "Никола Йонков Вапцаров", ГР.СИЛИСТРА</t>
  </si>
  <si>
    <t>Обществени науки</t>
  </si>
  <si>
    <t>С.ПРОФЕСОР ИШИРКОВО</t>
  </si>
  <si>
    <t>Обединено училище "Свети Климент Охридски", С.ПРОФЕСОР ИШИРКОВО</t>
  </si>
  <si>
    <t>Работник в хранително-вкусовата промишленост</t>
  </si>
  <si>
    <t>СИТОВО</t>
  </si>
  <si>
    <t>С.СИТОВО</t>
  </si>
  <si>
    <t>Професионална гимназия по селско стопанство, С.СИТОВО</t>
  </si>
  <si>
    <t>0532</t>
  </si>
  <si>
    <t>ТУТРАКАН</t>
  </si>
  <si>
    <t>ГР.ТУТРАКАН</t>
  </si>
  <si>
    <t>Средно училище "Йордан Йовков", ГР.ТУТРАКАН</t>
  </si>
  <si>
    <t>0291</t>
  </si>
  <si>
    <t>Предприемачески</t>
  </si>
  <si>
    <t>Средно училище "Христо Ботев", ГР.ТУТРАКАН</t>
  </si>
  <si>
    <t>0354</t>
  </si>
  <si>
    <t>Системен програмист</t>
  </si>
  <si>
    <t>0357</t>
  </si>
  <si>
    <t>Икономист</t>
  </si>
  <si>
    <t>запи-
сани</t>
  </si>
  <si>
    <t>II етап на класиране</t>
  </si>
  <si>
    <t>min
бал</t>
  </si>
  <si>
    <t>max
бал</t>
  </si>
  <si>
    <t>Държавен план-прием за учебната 2024-2025 година</t>
  </si>
  <si>
    <t>Икономист-информатик</t>
  </si>
  <si>
    <t>Съдебен служител</t>
  </si>
  <si>
    <t>Финансист</t>
  </si>
  <si>
    <t>Химик-оператор</t>
  </si>
  <si>
    <t>Икономическо развитие</t>
  </si>
  <si>
    <t>Държавен план-прием за учебната 2023-2024 година</t>
  </si>
  <si>
    <t>своб.
места
след II клас.</t>
  </si>
  <si>
    <r>
      <t xml:space="preserve">Трайни насаждения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</si>
  <si>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Консултант козметични, парфюмерийни, биологични продукти и битова химия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</si>
  <si>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Монтьор на транспортна техника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</si>
  <si>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Производство и преработка на мляко и млечни продукти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</si>
  <si>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Строителство и архитектура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</si>
  <si>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Пътностроителна техника
</t>
    </r>
    <r>
      <rPr>
        <b/>
        <sz val="12"/>
        <rFont val="Times New Roman"/>
        <family val="1"/>
        <charset val="204"/>
      </rPr>
      <t>с недостиг</t>
    </r>
  </si>
  <si>
    <r>
      <t xml:space="preserve">Автотранспортна техника
</t>
    </r>
    <r>
      <rPr>
        <b/>
        <sz val="12"/>
        <rFont val="Times New Roman"/>
        <family val="1"/>
        <charset val="204"/>
      </rPr>
      <t>с недостиг</t>
    </r>
  </si>
  <si>
    <r>
      <t xml:space="preserve">Технология на фармацевтични и парфюмерийно-козметични продукти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</si>
  <si>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Техник-растениевъд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</si>
  <si>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Производство на месо, месни продукти и риба     </t>
    </r>
    <r>
      <rPr>
        <b/>
        <sz val="12"/>
        <rFont val="Times New Roman"/>
        <family val="1"/>
        <charset val="204"/>
      </rPr>
      <t xml:space="preserve"> с недостиг</t>
    </r>
  </si>
  <si>
    <r>
      <t xml:space="preserve">Заваряване
</t>
    </r>
    <r>
      <rPr>
        <b/>
        <sz val="12"/>
        <color rgb="FFC00000"/>
        <rFont val="Times New Roman"/>
        <family val="1"/>
        <charset val="204"/>
      </rPr>
      <t>защитена</t>
    </r>
  </si>
  <si>
    <r>
      <t xml:space="preserve">Стругарство
</t>
    </r>
    <r>
      <rPr>
        <b/>
        <sz val="12"/>
        <color rgb="FFC00000"/>
        <rFont val="Times New Roman"/>
        <family val="1"/>
        <charset val="204"/>
      </rPr>
      <t>защитена</t>
    </r>
  </si>
  <si>
    <t>Организатор на туристическа агентска дейност</t>
  </si>
  <si>
    <t>Организатор Интернет приложения</t>
  </si>
  <si>
    <t>Работник в хранително-вкусова промишленост</t>
  </si>
  <si>
    <t>Програмист на роботи</t>
  </si>
  <si>
    <r>
      <t xml:space="preserve">Строителство и архитектура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</si>
  <si>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Автотранспортна техника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</si>
  <si>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Ресторантьор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</si>
  <si>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Технологичен и микробиологичен контрол в хранително-вкусови производства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</si>
  <si>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Техник-технолог в ХВП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</si>
  <si>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Техник-растениевъд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</si>
  <si>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Пътностроителна техника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</si>
  <si>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Трайни насаждения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</si>
  <si>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Автоматизирани системи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</si>
  <si>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Стругар </t>
    </r>
    <r>
      <rPr>
        <i/>
        <sz val="11"/>
        <rFont val="Times New Roman"/>
        <family val="1"/>
        <charset val="204"/>
      </rPr>
      <t>защитена</t>
    </r>
  </si>
  <si>
    <r>
      <t xml:space="preserve">Монтьор на транспортна техника </t>
    </r>
    <r>
      <rPr>
        <i/>
        <sz val="11"/>
        <rFont val="Times New Roman"/>
        <family val="1"/>
        <charset val="204"/>
      </rPr>
      <t>с очакван недостиг</t>
    </r>
  </si>
  <si>
    <t>Държавен план-прием за учебната 2025-2026 година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</si>
</sst>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b/>
      <sz val="22"/>
      <name val="Calibri"/>
      <family val="2"/>
      <charset val="204"/>
    </font>
    <font>
      <sz val="14"/>
      <name val="Calibri"/>
      <family val="2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b/>
      <sz val="11"/>
      <name val="Calibri"/>
      <family val="2"/>
      <charset val="204"/>
    </font>
    <font>
      <i/>
      <sz val="11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 applyFont="1" applyFill="1" applyBorder="1"/>
    <xf numFmtId="0" fontId="0" fillId="0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1" fontId="4" fillId="0" borderId="1" xfId="0" applyNumberFormat="1" applyFont="1" applyFill="1" applyBorder="1" applyAlignment="1">
      <alignment horizontal="center" vertical="top" wrapText="1"/>
    </xf>
    <xf numFmtId="2" fontId="4" fillId="2" borderId="1" xfId="0" applyNumberFormat="1" applyFont="1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center" vertical="top" wrapText="1"/>
    </xf>
    <xf numFmtId="0" fontId="4" fillId="0" borderId="0" xfId="0" applyFont="1" applyFill="1"/>
    <xf numFmtId="0" fontId="7" fillId="0" borderId="1" xfId="0" applyFont="1" applyFill="1" applyBorder="1" applyAlignment="1">
      <alignment vertical="top" wrapText="1"/>
    </xf>
    <xf numFmtId="1" fontId="7" fillId="0" borderId="1" xfId="0" applyNumberFormat="1" applyFont="1" applyFill="1" applyBorder="1" applyAlignment="1">
      <alignment horizontal="center" vertical="top" wrapText="1"/>
    </xf>
    <xf numFmtId="0" fontId="4" fillId="0" borderId="0" xfId="0" applyFont="1" applyFill="1" applyAlignment="1">
      <alignment horizont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1" fontId="3" fillId="0" borderId="1" xfId="0" applyNumberFormat="1" applyFont="1" applyFill="1" applyBorder="1" applyAlignment="1">
      <alignment horizontal="center" vertical="top" wrapText="1"/>
    </xf>
    <xf numFmtId="49" fontId="3" fillId="0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1" fontId="12" fillId="2" borderId="1" xfId="0" applyNumberFormat="1" applyFont="1" applyFill="1" applyBorder="1" applyAlignment="1">
      <alignment horizontal="center" vertical="top" wrapText="1"/>
    </xf>
    <xf numFmtId="0" fontId="8" fillId="0" borderId="0" xfId="0" applyFont="1" applyAlignment="1">
      <alignment horizontal="left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8" fillId="0" borderId="0" xfId="0" applyFont="1" applyFill="1" applyAlignment="1">
      <alignment horizontal="left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10" fillId="0" borderId="5" xfId="0" applyFont="1" applyFill="1" applyBorder="1" applyAlignment="1">
      <alignment horizontal="center" vertical="top" wrapText="1"/>
    </xf>
    <xf numFmtId="0" fontId="10" fillId="0" borderId="6" xfId="0" applyFont="1" applyFill="1" applyBorder="1" applyAlignment="1">
      <alignment horizontal="center" vertical="top" wrapText="1"/>
    </xf>
  </cellXfs>
  <cellStyles count="1">
    <cellStyle name="Нормален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tabSelected="1" workbookViewId="0">
      <selection sqref="A1:G1"/>
    </sheetView>
  </sheetViews>
  <sheetFormatPr defaultColWidth="9.109375" defaultRowHeight="13.8" x14ac:dyDescent="0.3"/>
  <cols>
    <col min="1" max="1" width="15.21875" style="10" customWidth="1"/>
    <col min="2" max="2" width="17.88671875" style="10" customWidth="1"/>
    <col min="3" max="3" width="9" style="11" bestFit="1" customWidth="1"/>
    <col min="4" max="4" width="42" style="10" customWidth="1"/>
    <col min="5" max="5" width="6" style="11" customWidth="1"/>
    <col min="6" max="6" width="35.109375" style="10" customWidth="1"/>
    <col min="7" max="7" width="17.5546875" style="10" customWidth="1"/>
    <col min="8" max="10" width="8.44140625" style="10" customWidth="1"/>
    <col min="11" max="11" width="11.5546875" style="11" customWidth="1"/>
    <col min="12" max="16384" width="9.109375" style="10"/>
  </cols>
  <sheetData>
    <row r="1" spans="1:11" ht="20.399999999999999" x14ac:dyDescent="0.35">
      <c r="A1" s="29" t="s">
        <v>93</v>
      </c>
      <c r="B1" s="29"/>
      <c r="C1" s="29"/>
      <c r="D1" s="29"/>
      <c r="E1" s="29"/>
      <c r="F1" s="29"/>
      <c r="G1" s="29"/>
    </row>
    <row r="3" spans="1:11" s="12" customFormat="1" ht="30" customHeight="1" x14ac:dyDescent="0.3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30" t="s">
        <v>5</v>
      </c>
      <c r="G3" s="30" t="s">
        <v>6</v>
      </c>
      <c r="H3" s="32" t="s">
        <v>84</v>
      </c>
      <c r="I3" s="33"/>
      <c r="J3" s="34"/>
      <c r="K3" s="35" t="s">
        <v>94</v>
      </c>
    </row>
    <row r="4" spans="1:11" s="12" customFormat="1" ht="46.5" customHeight="1" x14ac:dyDescent="0.3">
      <c r="A4" s="31"/>
      <c r="B4" s="31"/>
      <c r="C4" s="31"/>
      <c r="D4" s="31"/>
      <c r="E4" s="31"/>
      <c r="F4" s="31"/>
      <c r="G4" s="31"/>
      <c r="H4" s="9" t="s">
        <v>83</v>
      </c>
      <c r="I4" s="9" t="s">
        <v>85</v>
      </c>
      <c r="J4" s="9" t="s">
        <v>86</v>
      </c>
      <c r="K4" s="36"/>
    </row>
    <row r="5" spans="1:11" s="12" customFormat="1" ht="31.2" x14ac:dyDescent="0.3">
      <c r="A5" s="13" t="s">
        <v>40</v>
      </c>
      <c r="B5" s="13" t="s">
        <v>8</v>
      </c>
      <c r="C5" s="14">
        <v>1900201</v>
      </c>
      <c r="D5" s="13" t="s">
        <v>9</v>
      </c>
      <c r="E5" s="6" t="s">
        <v>10</v>
      </c>
      <c r="F5" s="13" t="s">
        <v>11</v>
      </c>
      <c r="G5" s="13" t="s">
        <v>12</v>
      </c>
      <c r="H5" s="7"/>
      <c r="I5" s="15">
        <v>56</v>
      </c>
      <c r="J5" s="15">
        <v>340</v>
      </c>
      <c r="K5" s="5">
        <v>4</v>
      </c>
    </row>
    <row r="6" spans="1:11" s="12" customFormat="1" ht="31.2" x14ac:dyDescent="0.3">
      <c r="A6" s="13" t="s">
        <v>40</v>
      </c>
      <c r="B6" s="13" t="s">
        <v>8</v>
      </c>
      <c r="C6" s="14">
        <v>1900201</v>
      </c>
      <c r="D6" s="13" t="s">
        <v>9</v>
      </c>
      <c r="E6" s="6" t="s">
        <v>13</v>
      </c>
      <c r="F6" s="13" t="s">
        <v>14</v>
      </c>
      <c r="G6" s="13" t="s">
        <v>15</v>
      </c>
      <c r="H6" s="7"/>
      <c r="I6" s="15">
        <v>98</v>
      </c>
      <c r="J6" s="15">
        <v>256</v>
      </c>
      <c r="K6" s="5">
        <v>10</v>
      </c>
    </row>
    <row r="7" spans="1:11" s="12" customFormat="1" ht="31.2" x14ac:dyDescent="0.3">
      <c r="A7" s="13" t="s">
        <v>34</v>
      </c>
      <c r="B7" s="13" t="s">
        <v>17</v>
      </c>
      <c r="C7" s="14">
        <v>1900301</v>
      </c>
      <c r="D7" s="13" t="s">
        <v>24</v>
      </c>
      <c r="E7" s="14">
        <v>3704</v>
      </c>
      <c r="F7" s="13" t="s">
        <v>28</v>
      </c>
      <c r="G7" s="13" t="s">
        <v>15</v>
      </c>
      <c r="H7" s="5">
        <v>1</v>
      </c>
      <c r="I7" s="15">
        <v>174</v>
      </c>
      <c r="J7" s="15">
        <v>381</v>
      </c>
      <c r="K7" s="5">
        <v>1</v>
      </c>
    </row>
    <row r="8" spans="1:11" s="12" customFormat="1" ht="31.2" x14ac:dyDescent="0.3">
      <c r="A8" s="13" t="s">
        <v>40</v>
      </c>
      <c r="B8" s="13" t="s">
        <v>17</v>
      </c>
      <c r="C8" s="14">
        <v>1900301</v>
      </c>
      <c r="D8" s="13" t="s">
        <v>24</v>
      </c>
      <c r="E8" s="6" t="s">
        <v>25</v>
      </c>
      <c r="F8" s="13" t="s">
        <v>26</v>
      </c>
      <c r="G8" s="13" t="s">
        <v>12</v>
      </c>
      <c r="H8" s="5">
        <v>3</v>
      </c>
      <c r="I8" s="15">
        <v>184.5</v>
      </c>
      <c r="J8" s="15">
        <v>354.25</v>
      </c>
      <c r="K8" s="5">
        <v>0</v>
      </c>
    </row>
    <row r="9" spans="1:11" s="12" customFormat="1" ht="31.2" x14ac:dyDescent="0.3">
      <c r="A9" s="13" t="s">
        <v>40</v>
      </c>
      <c r="B9" s="13" t="s">
        <v>17</v>
      </c>
      <c r="C9" s="14">
        <v>1900301</v>
      </c>
      <c r="D9" s="13" t="s">
        <v>24</v>
      </c>
      <c r="E9" s="6" t="s">
        <v>27</v>
      </c>
      <c r="F9" s="13" t="s">
        <v>11</v>
      </c>
      <c r="G9" s="13" t="s">
        <v>12</v>
      </c>
      <c r="H9" s="5">
        <v>2</v>
      </c>
      <c r="I9" s="15">
        <v>205</v>
      </c>
      <c r="J9" s="15">
        <v>408.5</v>
      </c>
      <c r="K9" s="5">
        <v>0</v>
      </c>
    </row>
    <row r="10" spans="1:11" s="12" customFormat="1" ht="31.2" x14ac:dyDescent="0.3">
      <c r="A10" s="13" t="s">
        <v>40</v>
      </c>
      <c r="B10" s="13" t="s">
        <v>29</v>
      </c>
      <c r="C10" s="14">
        <v>1900302</v>
      </c>
      <c r="D10" s="13" t="s">
        <v>30</v>
      </c>
      <c r="E10" s="14">
        <v>4062</v>
      </c>
      <c r="F10" s="13" t="s">
        <v>31</v>
      </c>
      <c r="G10" s="13" t="s">
        <v>15</v>
      </c>
      <c r="H10" s="7"/>
      <c r="I10" s="15">
        <v>74</v>
      </c>
      <c r="J10" s="15">
        <v>287.5</v>
      </c>
      <c r="K10" s="5">
        <v>4</v>
      </c>
    </row>
    <row r="11" spans="1:11" s="12" customFormat="1" ht="31.2" x14ac:dyDescent="0.3">
      <c r="A11" s="13" t="s">
        <v>16</v>
      </c>
      <c r="B11" s="13" t="s">
        <v>32</v>
      </c>
      <c r="C11" s="14">
        <v>1900303</v>
      </c>
      <c r="D11" s="13" t="s">
        <v>33</v>
      </c>
      <c r="E11" s="14">
        <v>3669</v>
      </c>
      <c r="F11" s="13" t="s">
        <v>11</v>
      </c>
      <c r="G11" s="13" t="s">
        <v>12</v>
      </c>
      <c r="H11" s="5"/>
      <c r="I11" s="15">
        <v>30</v>
      </c>
      <c r="J11" s="15">
        <v>314</v>
      </c>
      <c r="K11" s="5">
        <v>8</v>
      </c>
    </row>
    <row r="12" spans="1:11" s="12" customFormat="1" ht="31.2" x14ac:dyDescent="0.3">
      <c r="A12" s="13" t="s">
        <v>40</v>
      </c>
      <c r="B12" s="13" t="s">
        <v>17</v>
      </c>
      <c r="C12" s="14">
        <v>1900327</v>
      </c>
      <c r="D12" s="13" t="s">
        <v>18</v>
      </c>
      <c r="E12" s="6" t="s">
        <v>19</v>
      </c>
      <c r="F12" s="13" t="s">
        <v>97</v>
      </c>
      <c r="G12" s="13" t="s">
        <v>15</v>
      </c>
      <c r="H12" s="7"/>
      <c r="I12" s="15">
        <v>30</v>
      </c>
      <c r="J12" s="15">
        <v>245.5</v>
      </c>
      <c r="K12" s="5">
        <v>6</v>
      </c>
    </row>
    <row r="13" spans="1:11" s="12" customFormat="1" ht="31.2" x14ac:dyDescent="0.3">
      <c r="A13" s="13" t="s">
        <v>40</v>
      </c>
      <c r="B13" s="13" t="s">
        <v>17</v>
      </c>
      <c r="C13" s="14">
        <v>1900327</v>
      </c>
      <c r="D13" s="13" t="s">
        <v>18</v>
      </c>
      <c r="E13" s="6" t="s">
        <v>20</v>
      </c>
      <c r="F13" s="13" t="s">
        <v>21</v>
      </c>
      <c r="G13" s="13" t="s">
        <v>15</v>
      </c>
      <c r="H13" s="7"/>
      <c r="I13" s="15">
        <v>41</v>
      </c>
      <c r="J13" s="15">
        <v>255</v>
      </c>
      <c r="K13" s="5">
        <v>15</v>
      </c>
    </row>
    <row r="14" spans="1:11" s="12" customFormat="1" ht="31.2" x14ac:dyDescent="0.3">
      <c r="A14" s="13" t="s">
        <v>40</v>
      </c>
      <c r="B14" s="13" t="s">
        <v>17</v>
      </c>
      <c r="C14" s="14">
        <v>1900327</v>
      </c>
      <c r="D14" s="13" t="s">
        <v>18</v>
      </c>
      <c r="E14" s="6" t="s">
        <v>22</v>
      </c>
      <c r="F14" s="13" t="s">
        <v>23</v>
      </c>
      <c r="G14" s="13" t="s">
        <v>15</v>
      </c>
      <c r="H14" s="7"/>
      <c r="I14" s="15">
        <v>30</v>
      </c>
      <c r="J14" s="15">
        <v>166</v>
      </c>
      <c r="K14" s="5">
        <v>14</v>
      </c>
    </row>
    <row r="15" spans="1:11" s="12" customFormat="1" ht="46.8" x14ac:dyDescent="0.3">
      <c r="A15" s="13" t="s">
        <v>40</v>
      </c>
      <c r="B15" s="13" t="s">
        <v>35</v>
      </c>
      <c r="C15" s="14">
        <v>1900405</v>
      </c>
      <c r="D15" s="13" t="s">
        <v>36</v>
      </c>
      <c r="E15" s="14">
        <v>4434</v>
      </c>
      <c r="F15" s="13" t="s">
        <v>37</v>
      </c>
      <c r="G15" s="13" t="s">
        <v>15</v>
      </c>
      <c r="H15" s="7"/>
      <c r="I15" s="15">
        <v>65</v>
      </c>
      <c r="J15" s="15">
        <v>338</v>
      </c>
      <c r="K15" s="5">
        <v>4</v>
      </c>
    </row>
    <row r="16" spans="1:11" s="12" customFormat="1" ht="46.8" x14ac:dyDescent="0.3">
      <c r="A16" s="13" t="s">
        <v>40</v>
      </c>
      <c r="B16" s="13" t="s">
        <v>35</v>
      </c>
      <c r="C16" s="14">
        <v>1900405</v>
      </c>
      <c r="D16" s="13" t="s">
        <v>36</v>
      </c>
      <c r="E16" s="14">
        <v>4435</v>
      </c>
      <c r="F16" s="13" t="s">
        <v>38</v>
      </c>
      <c r="G16" s="13" t="s">
        <v>15</v>
      </c>
      <c r="H16" s="7"/>
      <c r="I16" s="15">
        <v>52</v>
      </c>
      <c r="J16" s="15">
        <v>229</v>
      </c>
      <c r="K16" s="5">
        <v>7</v>
      </c>
    </row>
    <row r="17" spans="1:11" s="12" customFormat="1" ht="46.8" x14ac:dyDescent="0.3">
      <c r="A17" s="13" t="s">
        <v>40</v>
      </c>
      <c r="B17" s="13" t="s">
        <v>35</v>
      </c>
      <c r="C17" s="14">
        <v>1900405</v>
      </c>
      <c r="D17" s="13" t="s">
        <v>36</v>
      </c>
      <c r="E17" s="14">
        <v>4436</v>
      </c>
      <c r="F17" s="13" t="s">
        <v>39</v>
      </c>
      <c r="G17" s="13" t="s">
        <v>15</v>
      </c>
      <c r="H17" s="7"/>
      <c r="I17" s="15">
        <v>99</v>
      </c>
      <c r="J17" s="15">
        <v>307.5</v>
      </c>
      <c r="K17" s="5">
        <v>0</v>
      </c>
    </row>
    <row r="18" spans="1:11" s="12" customFormat="1" ht="31.2" x14ac:dyDescent="0.3">
      <c r="A18" s="13" t="s">
        <v>7</v>
      </c>
      <c r="B18" s="13" t="s">
        <v>41</v>
      </c>
      <c r="C18" s="14">
        <v>1900502</v>
      </c>
      <c r="D18" s="13" t="s">
        <v>64</v>
      </c>
      <c r="E18" s="14">
        <v>1138</v>
      </c>
      <c r="F18" s="13" t="s">
        <v>65</v>
      </c>
      <c r="G18" s="13" t="s">
        <v>12</v>
      </c>
      <c r="H18" s="5">
        <v>1</v>
      </c>
      <c r="I18" s="15">
        <v>194</v>
      </c>
      <c r="J18" s="15">
        <v>386.25</v>
      </c>
      <c r="K18" s="5">
        <v>0</v>
      </c>
    </row>
    <row r="19" spans="1:11" s="12" customFormat="1" ht="31.2" x14ac:dyDescent="0.3">
      <c r="A19" s="13" t="s">
        <v>73</v>
      </c>
      <c r="B19" s="13" t="s">
        <v>41</v>
      </c>
      <c r="C19" s="14">
        <v>1900503</v>
      </c>
      <c r="D19" s="13" t="s">
        <v>45</v>
      </c>
      <c r="E19" s="6" t="s">
        <v>46</v>
      </c>
      <c r="F19" s="13" t="s">
        <v>47</v>
      </c>
      <c r="G19" s="13" t="s">
        <v>12</v>
      </c>
      <c r="H19" s="5">
        <v>3</v>
      </c>
      <c r="I19" s="15">
        <v>169</v>
      </c>
      <c r="J19" s="15">
        <v>462</v>
      </c>
      <c r="K19" s="5">
        <v>2</v>
      </c>
    </row>
    <row r="20" spans="1:11" s="12" customFormat="1" ht="31.2" x14ac:dyDescent="0.3">
      <c r="A20" s="13" t="s">
        <v>73</v>
      </c>
      <c r="B20" s="13" t="s">
        <v>41</v>
      </c>
      <c r="C20" s="14">
        <v>1900503</v>
      </c>
      <c r="D20" s="13" t="s">
        <v>45</v>
      </c>
      <c r="E20" s="6" t="s">
        <v>48</v>
      </c>
      <c r="F20" s="13" t="s">
        <v>49</v>
      </c>
      <c r="G20" s="13" t="s">
        <v>12</v>
      </c>
      <c r="H20" s="7"/>
      <c r="I20" s="15">
        <v>253.5</v>
      </c>
      <c r="J20" s="15">
        <v>386</v>
      </c>
      <c r="K20" s="5">
        <v>0</v>
      </c>
    </row>
    <row r="21" spans="1:11" s="12" customFormat="1" ht="31.2" x14ac:dyDescent="0.3">
      <c r="A21" s="13" t="s">
        <v>73</v>
      </c>
      <c r="B21" s="13" t="s">
        <v>41</v>
      </c>
      <c r="C21" s="14">
        <v>1900503</v>
      </c>
      <c r="D21" s="13" t="s">
        <v>45</v>
      </c>
      <c r="E21" s="6" t="s">
        <v>50</v>
      </c>
      <c r="F21" s="13" t="s">
        <v>11</v>
      </c>
      <c r="G21" s="13" t="s">
        <v>12</v>
      </c>
      <c r="H21" s="7"/>
      <c r="I21" s="15">
        <v>259</v>
      </c>
      <c r="J21" s="15">
        <v>415</v>
      </c>
      <c r="K21" s="5">
        <v>0</v>
      </c>
    </row>
    <row r="22" spans="1:11" s="12" customFormat="1" ht="31.2" x14ac:dyDescent="0.3">
      <c r="A22" s="13" t="s">
        <v>16</v>
      </c>
      <c r="B22" s="13" t="s">
        <v>41</v>
      </c>
      <c r="C22" s="14">
        <v>1900504</v>
      </c>
      <c r="D22" s="13" t="s">
        <v>42</v>
      </c>
      <c r="E22" s="14">
        <v>2024</v>
      </c>
      <c r="F22" s="13" t="s">
        <v>43</v>
      </c>
      <c r="G22" s="13" t="s">
        <v>12</v>
      </c>
      <c r="H22" s="5">
        <v>1</v>
      </c>
      <c r="I22" s="15">
        <v>183</v>
      </c>
      <c r="J22" s="15">
        <v>460.75</v>
      </c>
      <c r="K22" s="5">
        <v>0</v>
      </c>
    </row>
    <row r="23" spans="1:11" s="12" customFormat="1" ht="31.2" x14ac:dyDescent="0.3">
      <c r="A23" s="13" t="s">
        <v>16</v>
      </c>
      <c r="B23" s="13" t="s">
        <v>41</v>
      </c>
      <c r="C23" s="14">
        <v>1900504</v>
      </c>
      <c r="D23" s="13" t="s">
        <v>42</v>
      </c>
      <c r="E23" s="14">
        <v>2307</v>
      </c>
      <c r="F23" s="13" t="s">
        <v>44</v>
      </c>
      <c r="G23" s="13" t="s">
        <v>12</v>
      </c>
      <c r="H23" s="7"/>
      <c r="I23" s="15">
        <v>201</v>
      </c>
      <c r="J23" s="15">
        <v>451.75</v>
      </c>
      <c r="K23" s="5">
        <v>0</v>
      </c>
    </row>
    <row r="24" spans="1:11" s="12" customFormat="1" ht="46.8" x14ac:dyDescent="0.3">
      <c r="A24" s="13" t="s">
        <v>40</v>
      </c>
      <c r="B24" s="13" t="s">
        <v>41</v>
      </c>
      <c r="C24" s="14">
        <v>1900505</v>
      </c>
      <c r="D24" s="13" t="s">
        <v>51</v>
      </c>
      <c r="E24" s="6" t="s">
        <v>52</v>
      </c>
      <c r="F24" s="13" t="s">
        <v>53</v>
      </c>
      <c r="G24" s="13" t="s">
        <v>15</v>
      </c>
      <c r="H24" s="5">
        <v>2</v>
      </c>
      <c r="I24" s="15">
        <v>52</v>
      </c>
      <c r="J24" s="15">
        <v>240</v>
      </c>
      <c r="K24" s="5">
        <v>6</v>
      </c>
    </row>
    <row r="25" spans="1:11" s="12" customFormat="1" ht="46.8" x14ac:dyDescent="0.3">
      <c r="A25" s="13" t="s">
        <v>40</v>
      </c>
      <c r="B25" s="13" t="s">
        <v>41</v>
      </c>
      <c r="C25" s="14">
        <v>1900505</v>
      </c>
      <c r="D25" s="13" t="s">
        <v>51</v>
      </c>
      <c r="E25" s="6" t="s">
        <v>54</v>
      </c>
      <c r="F25" s="13" t="s">
        <v>39</v>
      </c>
      <c r="G25" s="13" t="s">
        <v>15</v>
      </c>
      <c r="H25" s="7"/>
      <c r="I25" s="15">
        <v>106.5</v>
      </c>
      <c r="J25" s="15">
        <v>316</v>
      </c>
      <c r="K25" s="5">
        <v>4</v>
      </c>
    </row>
    <row r="26" spans="1:11" s="12" customFormat="1" ht="46.8" x14ac:dyDescent="0.3">
      <c r="A26" s="13" t="s">
        <v>16</v>
      </c>
      <c r="B26" s="13" t="s">
        <v>41</v>
      </c>
      <c r="C26" s="14">
        <v>1900506</v>
      </c>
      <c r="D26" s="13" t="s">
        <v>56</v>
      </c>
      <c r="E26" s="14">
        <v>3076</v>
      </c>
      <c r="F26" s="13" t="s">
        <v>57</v>
      </c>
      <c r="G26" s="13" t="s">
        <v>15</v>
      </c>
      <c r="H26" s="5">
        <v>4</v>
      </c>
      <c r="I26" s="15">
        <v>190</v>
      </c>
      <c r="J26" s="15">
        <v>373</v>
      </c>
      <c r="K26" s="5">
        <v>0</v>
      </c>
    </row>
    <row r="27" spans="1:11" s="12" customFormat="1" ht="46.8" x14ac:dyDescent="0.3">
      <c r="A27" s="13" t="s">
        <v>16</v>
      </c>
      <c r="B27" s="13" t="s">
        <v>41</v>
      </c>
      <c r="C27" s="14">
        <v>1900506</v>
      </c>
      <c r="D27" s="13" t="s">
        <v>56</v>
      </c>
      <c r="E27" s="14">
        <v>3077</v>
      </c>
      <c r="F27" s="13" t="s">
        <v>58</v>
      </c>
      <c r="G27" s="13" t="s">
        <v>15</v>
      </c>
      <c r="H27" s="5">
        <v>0</v>
      </c>
      <c r="I27" s="15">
        <v>186</v>
      </c>
      <c r="J27" s="15">
        <v>393.75</v>
      </c>
      <c r="K27" s="5">
        <v>1</v>
      </c>
    </row>
    <row r="28" spans="1:11" s="12" customFormat="1" ht="46.8" x14ac:dyDescent="0.3">
      <c r="A28" s="13" t="s">
        <v>16</v>
      </c>
      <c r="B28" s="13" t="s">
        <v>41</v>
      </c>
      <c r="C28" s="14">
        <v>1900506</v>
      </c>
      <c r="D28" s="13" t="s">
        <v>56</v>
      </c>
      <c r="E28" s="14">
        <v>3078</v>
      </c>
      <c r="F28" s="13" t="s">
        <v>59</v>
      </c>
      <c r="G28" s="13" t="s">
        <v>15</v>
      </c>
      <c r="H28" s="5">
        <v>0</v>
      </c>
      <c r="I28" s="15">
        <v>89</v>
      </c>
      <c r="J28" s="15">
        <v>329.5</v>
      </c>
      <c r="K28" s="5">
        <v>1</v>
      </c>
    </row>
    <row r="29" spans="1:11" s="12" customFormat="1" ht="31.2" x14ac:dyDescent="0.3">
      <c r="A29" s="13" t="s">
        <v>40</v>
      </c>
      <c r="B29" s="13" t="s">
        <v>41</v>
      </c>
      <c r="C29" s="14">
        <v>1900507</v>
      </c>
      <c r="D29" s="13" t="s">
        <v>63</v>
      </c>
      <c r="E29" s="14">
        <v>4350</v>
      </c>
      <c r="F29" s="13" t="s">
        <v>14</v>
      </c>
      <c r="G29" s="13" t="s">
        <v>15</v>
      </c>
      <c r="H29" s="7"/>
      <c r="I29" s="15">
        <v>41</v>
      </c>
      <c r="J29" s="15">
        <v>328.5</v>
      </c>
      <c r="K29" s="5">
        <v>11</v>
      </c>
    </row>
    <row r="30" spans="1:11" s="12" customFormat="1" ht="46.8" x14ac:dyDescent="0.3">
      <c r="A30" s="13" t="s">
        <v>7</v>
      </c>
      <c r="B30" s="13" t="s">
        <v>41</v>
      </c>
      <c r="C30" s="14">
        <v>1900508</v>
      </c>
      <c r="D30" s="13" t="s">
        <v>60</v>
      </c>
      <c r="E30" s="14">
        <v>1860</v>
      </c>
      <c r="F30" s="13" t="s">
        <v>61</v>
      </c>
      <c r="G30" s="13" t="s">
        <v>15</v>
      </c>
      <c r="H30" s="7"/>
      <c r="I30" s="15">
        <v>52</v>
      </c>
      <c r="J30" s="15">
        <v>359.5</v>
      </c>
      <c r="K30" s="5">
        <v>2</v>
      </c>
    </row>
    <row r="31" spans="1:11" s="12" customFormat="1" ht="46.8" x14ac:dyDescent="0.3">
      <c r="A31" s="13" t="s">
        <v>16</v>
      </c>
      <c r="B31" s="13" t="s">
        <v>41</v>
      </c>
      <c r="C31" s="14">
        <v>1900508</v>
      </c>
      <c r="D31" s="13" t="s">
        <v>60</v>
      </c>
      <c r="E31" s="14">
        <v>1866</v>
      </c>
      <c r="F31" s="13" t="s">
        <v>62</v>
      </c>
      <c r="G31" s="13" t="s">
        <v>15</v>
      </c>
      <c r="H31" s="5">
        <v>1</v>
      </c>
      <c r="I31" s="15">
        <v>135</v>
      </c>
      <c r="J31" s="15">
        <v>311</v>
      </c>
      <c r="K31" s="5">
        <v>6</v>
      </c>
    </row>
    <row r="32" spans="1:11" s="12" customFormat="1" ht="62.4" x14ac:dyDescent="0.3">
      <c r="A32" s="13" t="s">
        <v>34</v>
      </c>
      <c r="B32" s="13" t="s">
        <v>41</v>
      </c>
      <c r="C32" s="14">
        <v>1900510</v>
      </c>
      <c r="D32" s="13" t="s">
        <v>55</v>
      </c>
      <c r="E32" s="14">
        <v>3720</v>
      </c>
      <c r="F32" s="13" t="s">
        <v>96</v>
      </c>
      <c r="G32" s="13" t="s">
        <v>15</v>
      </c>
      <c r="H32" s="5">
        <v>1</v>
      </c>
      <c r="I32" s="15">
        <v>45</v>
      </c>
      <c r="J32" s="15">
        <v>314.5</v>
      </c>
      <c r="K32" s="5">
        <v>11</v>
      </c>
    </row>
    <row r="33" spans="1:11" s="12" customFormat="1" ht="31.2" x14ac:dyDescent="0.3">
      <c r="A33" s="13" t="s">
        <v>16</v>
      </c>
      <c r="B33" s="13" t="s">
        <v>66</v>
      </c>
      <c r="C33" s="14">
        <v>1900517</v>
      </c>
      <c r="D33" s="13" t="s">
        <v>67</v>
      </c>
      <c r="E33" s="14">
        <v>1943</v>
      </c>
      <c r="F33" s="13" t="s">
        <v>68</v>
      </c>
      <c r="G33" s="13" t="s">
        <v>15</v>
      </c>
      <c r="H33" s="7"/>
      <c r="I33" s="15">
        <v>30</v>
      </c>
      <c r="J33" s="15">
        <v>298</v>
      </c>
      <c r="K33" s="5">
        <v>10</v>
      </c>
    </row>
    <row r="34" spans="1:11" s="12" customFormat="1" ht="31.2" x14ac:dyDescent="0.3">
      <c r="A34" s="13" t="s">
        <v>34</v>
      </c>
      <c r="B34" s="13" t="s">
        <v>70</v>
      </c>
      <c r="C34" s="14">
        <v>1900605</v>
      </c>
      <c r="D34" s="13" t="s">
        <v>71</v>
      </c>
      <c r="E34" s="14">
        <v>3707</v>
      </c>
      <c r="F34" s="13" t="s">
        <v>95</v>
      </c>
      <c r="G34" s="13" t="s">
        <v>15</v>
      </c>
      <c r="H34" s="7"/>
      <c r="I34" s="15">
        <v>30</v>
      </c>
      <c r="J34" s="15">
        <v>234</v>
      </c>
      <c r="K34" s="5">
        <v>12</v>
      </c>
    </row>
    <row r="35" spans="1:11" s="12" customFormat="1" ht="46.8" x14ac:dyDescent="0.3">
      <c r="A35" s="13" t="s">
        <v>73</v>
      </c>
      <c r="B35" s="13" t="s">
        <v>70</v>
      </c>
      <c r="C35" s="14">
        <v>1900605</v>
      </c>
      <c r="D35" s="13" t="s">
        <v>71</v>
      </c>
      <c r="E35" s="6" t="s">
        <v>72</v>
      </c>
      <c r="F35" s="13" t="s">
        <v>98</v>
      </c>
      <c r="G35" s="13" t="s">
        <v>15</v>
      </c>
      <c r="H35" s="7"/>
      <c r="I35" s="15">
        <v>30</v>
      </c>
      <c r="J35" s="15">
        <v>182</v>
      </c>
      <c r="K35" s="5">
        <v>12</v>
      </c>
    </row>
    <row r="36" spans="1:11" s="12" customFormat="1" ht="31.2" x14ac:dyDescent="0.3">
      <c r="A36" s="13" t="s">
        <v>40</v>
      </c>
      <c r="B36" s="13" t="s">
        <v>74</v>
      </c>
      <c r="C36" s="14">
        <v>1900701</v>
      </c>
      <c r="D36" s="13" t="s">
        <v>75</v>
      </c>
      <c r="E36" s="14">
        <v>3995</v>
      </c>
      <c r="F36" s="13" t="s">
        <v>77</v>
      </c>
      <c r="G36" s="13" t="s">
        <v>12</v>
      </c>
      <c r="H36" s="7"/>
      <c r="I36" s="15">
        <v>58</v>
      </c>
      <c r="J36" s="15">
        <v>340</v>
      </c>
      <c r="K36" s="5">
        <v>10</v>
      </c>
    </row>
    <row r="37" spans="1:11" s="12" customFormat="1" ht="31.2" x14ac:dyDescent="0.3">
      <c r="A37" s="13" t="s">
        <v>40</v>
      </c>
      <c r="B37" s="13" t="s">
        <v>74</v>
      </c>
      <c r="C37" s="14">
        <v>1900701</v>
      </c>
      <c r="D37" s="13" t="s">
        <v>75</v>
      </c>
      <c r="E37" s="6" t="s">
        <v>76</v>
      </c>
      <c r="F37" s="13" t="s">
        <v>11</v>
      </c>
      <c r="G37" s="13" t="s">
        <v>12</v>
      </c>
      <c r="H37" s="7"/>
      <c r="I37" s="15">
        <v>38</v>
      </c>
      <c r="J37" s="15">
        <v>279.5</v>
      </c>
      <c r="K37" s="5">
        <v>12</v>
      </c>
    </row>
    <row r="38" spans="1:11" s="12" customFormat="1" ht="31.2" x14ac:dyDescent="0.3">
      <c r="A38" s="13" t="s">
        <v>69</v>
      </c>
      <c r="B38" s="13" t="s">
        <v>74</v>
      </c>
      <c r="C38" s="14">
        <v>1900702</v>
      </c>
      <c r="D38" s="13" t="s">
        <v>78</v>
      </c>
      <c r="E38" s="6" t="s">
        <v>79</v>
      </c>
      <c r="F38" s="13" t="s">
        <v>80</v>
      </c>
      <c r="G38" s="13" t="s">
        <v>15</v>
      </c>
      <c r="H38" s="7"/>
      <c r="I38" s="15">
        <v>168</v>
      </c>
      <c r="J38" s="15">
        <v>393</v>
      </c>
      <c r="K38" s="5">
        <v>3</v>
      </c>
    </row>
    <row r="39" spans="1:11" s="12" customFormat="1" ht="31.2" x14ac:dyDescent="0.3">
      <c r="A39" s="13" t="s">
        <v>69</v>
      </c>
      <c r="B39" s="13" t="s">
        <v>74</v>
      </c>
      <c r="C39" s="14">
        <v>1900702</v>
      </c>
      <c r="D39" s="13" t="s">
        <v>78</v>
      </c>
      <c r="E39" s="6" t="s">
        <v>81</v>
      </c>
      <c r="F39" s="13" t="s">
        <v>82</v>
      </c>
      <c r="G39" s="13" t="s">
        <v>15</v>
      </c>
      <c r="H39" s="7"/>
      <c r="I39" s="15">
        <v>30</v>
      </c>
      <c r="J39" s="15">
        <v>306.5</v>
      </c>
      <c r="K39" s="5">
        <v>1</v>
      </c>
    </row>
    <row r="40" spans="1:11" s="12" customFormat="1" ht="15.6" x14ac:dyDescent="0.3">
      <c r="C40" s="8"/>
      <c r="E40" s="8"/>
      <c r="H40" s="16">
        <f t="shared" ref="H40:K40" si="0">SUM(H5:H39)</f>
        <v>19</v>
      </c>
      <c r="I40" s="16"/>
      <c r="J40" s="16"/>
      <c r="K40" s="16">
        <f t="shared" si="0"/>
        <v>177</v>
      </c>
    </row>
  </sheetData>
  <sortState ref="A5:W39">
    <sortCondition ref="C5:C39"/>
    <sortCondition ref="E5:E39"/>
  </sortState>
  <mergeCells count="10">
    <mergeCell ref="H3:J3"/>
    <mergeCell ref="K3:K4"/>
    <mergeCell ref="B3:B4"/>
    <mergeCell ref="A3:A4"/>
    <mergeCell ref="F3:F4"/>
    <mergeCell ref="E3:E4"/>
    <mergeCell ref="D3:D4"/>
    <mergeCell ref="C3:C4"/>
    <mergeCell ref="G3:G4"/>
    <mergeCell ref="A1:G1"/>
  </mergeCells>
  <pageMargins left="0" right="0" top="0.59055118110236227" bottom="0.39370078740157483" header="0.31496062992125984" footer="0.31496062992125984"/>
  <pageSetup paperSize="8" scale="9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G1"/>
    </sheetView>
  </sheetViews>
  <sheetFormatPr defaultColWidth="9.109375" defaultRowHeight="18" x14ac:dyDescent="0.35"/>
  <cols>
    <col min="1" max="1" width="14.88671875" style="1" customWidth="1"/>
    <col min="2" max="2" width="17.88671875" style="1" customWidth="1"/>
    <col min="3" max="3" width="9" style="3" bestFit="1" customWidth="1"/>
    <col min="4" max="4" width="41.33203125" style="1" customWidth="1"/>
    <col min="5" max="5" width="7.5546875" style="4" customWidth="1"/>
    <col min="6" max="6" width="33.88671875" style="1" customWidth="1"/>
    <col min="7" max="7" width="17.109375" style="3" customWidth="1"/>
    <col min="8" max="10" width="8.33203125" style="1" customWidth="1"/>
    <col min="11" max="11" width="9.33203125" style="1" bestFit="1" customWidth="1"/>
    <col min="13" max="16384" width="9.109375" style="1"/>
  </cols>
  <sheetData>
    <row r="1" spans="1:11" ht="20.399999999999999" x14ac:dyDescent="0.35">
      <c r="A1" s="38" t="s">
        <v>87</v>
      </c>
      <c r="B1" s="38"/>
      <c r="C1" s="38"/>
      <c r="D1" s="38"/>
      <c r="E1" s="38"/>
      <c r="F1" s="38"/>
      <c r="G1" s="38"/>
    </row>
    <row r="2" spans="1:11" ht="12" customHeight="1" x14ac:dyDescent="0.55000000000000004">
      <c r="A2" s="2"/>
      <c r="B2" s="2"/>
      <c r="C2" s="2"/>
      <c r="D2" s="2"/>
      <c r="E2" s="2"/>
      <c r="F2" s="2"/>
      <c r="G2" s="2"/>
    </row>
    <row r="3" spans="1:11" s="17" customFormat="1" ht="33" customHeight="1" x14ac:dyDescent="0.3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37" t="s">
        <v>5</v>
      </c>
      <c r="G3" s="37" t="s">
        <v>6</v>
      </c>
      <c r="H3" s="32" t="s">
        <v>84</v>
      </c>
      <c r="I3" s="33"/>
      <c r="J3" s="34"/>
      <c r="K3" s="35" t="s">
        <v>94</v>
      </c>
    </row>
    <row r="4" spans="1:11" s="17" customFormat="1" ht="78" customHeight="1" x14ac:dyDescent="0.3">
      <c r="A4" s="37"/>
      <c r="B4" s="37"/>
      <c r="C4" s="37"/>
      <c r="D4" s="37"/>
      <c r="E4" s="37"/>
      <c r="F4" s="37"/>
      <c r="G4" s="37"/>
      <c r="H4" s="9" t="s">
        <v>83</v>
      </c>
      <c r="I4" s="9" t="s">
        <v>85</v>
      </c>
      <c r="J4" s="9" t="s">
        <v>86</v>
      </c>
      <c r="K4" s="36"/>
    </row>
    <row r="5" spans="1:11" s="17" customFormat="1" ht="31.2" x14ac:dyDescent="0.3">
      <c r="A5" s="13" t="s">
        <v>7</v>
      </c>
      <c r="B5" s="13" t="s">
        <v>8</v>
      </c>
      <c r="C5" s="14">
        <v>1900201</v>
      </c>
      <c r="D5" s="13" t="s">
        <v>9</v>
      </c>
      <c r="E5" s="6" t="s">
        <v>10</v>
      </c>
      <c r="F5" s="13" t="s">
        <v>11</v>
      </c>
      <c r="G5" s="6" t="s">
        <v>12</v>
      </c>
      <c r="H5" s="5"/>
      <c r="I5" s="5">
        <v>78</v>
      </c>
      <c r="J5" s="5">
        <v>379.5</v>
      </c>
      <c r="K5" s="5">
        <v>5</v>
      </c>
    </row>
    <row r="6" spans="1:11" s="17" customFormat="1" ht="31.2" x14ac:dyDescent="0.3">
      <c r="A6" s="13" t="s">
        <v>7</v>
      </c>
      <c r="B6" s="13" t="s">
        <v>8</v>
      </c>
      <c r="C6" s="14">
        <v>1900201</v>
      </c>
      <c r="D6" s="13" t="s">
        <v>9</v>
      </c>
      <c r="E6" s="6" t="s">
        <v>13</v>
      </c>
      <c r="F6" s="13" t="s">
        <v>14</v>
      </c>
      <c r="G6" s="6" t="s">
        <v>15</v>
      </c>
      <c r="H6" s="5"/>
      <c r="I6" s="5">
        <v>58</v>
      </c>
      <c r="J6" s="5">
        <v>271</v>
      </c>
      <c r="K6" s="5">
        <v>7</v>
      </c>
    </row>
    <row r="7" spans="1:11" s="17" customFormat="1" ht="31.2" x14ac:dyDescent="0.3">
      <c r="A7" s="13" t="s">
        <v>16</v>
      </c>
      <c r="B7" s="13" t="s">
        <v>17</v>
      </c>
      <c r="C7" s="14">
        <v>1900301</v>
      </c>
      <c r="D7" s="13" t="s">
        <v>24</v>
      </c>
      <c r="E7" s="14">
        <v>3704</v>
      </c>
      <c r="F7" s="13" t="s">
        <v>28</v>
      </c>
      <c r="G7" s="6" t="s">
        <v>15</v>
      </c>
      <c r="H7" s="5"/>
      <c r="I7" s="5">
        <v>192</v>
      </c>
      <c r="J7" s="5">
        <v>384</v>
      </c>
      <c r="K7" s="5">
        <v>0</v>
      </c>
    </row>
    <row r="8" spans="1:11" s="17" customFormat="1" ht="31.2" x14ac:dyDescent="0.3">
      <c r="A8" s="13" t="s">
        <v>16</v>
      </c>
      <c r="B8" s="13" t="s">
        <v>17</v>
      </c>
      <c r="C8" s="14">
        <v>1900301</v>
      </c>
      <c r="D8" s="13" t="s">
        <v>24</v>
      </c>
      <c r="E8" s="6" t="s">
        <v>25</v>
      </c>
      <c r="F8" s="13" t="s">
        <v>26</v>
      </c>
      <c r="G8" s="6" t="s">
        <v>12</v>
      </c>
      <c r="H8" s="5"/>
      <c r="I8" s="5">
        <v>206</v>
      </c>
      <c r="J8" s="5">
        <v>382.5</v>
      </c>
      <c r="K8" s="5">
        <v>0</v>
      </c>
    </row>
    <row r="9" spans="1:11" s="17" customFormat="1" ht="31.2" x14ac:dyDescent="0.3">
      <c r="A9" s="13" t="s">
        <v>16</v>
      </c>
      <c r="B9" s="13" t="s">
        <v>17</v>
      </c>
      <c r="C9" s="14">
        <v>1900301</v>
      </c>
      <c r="D9" s="13" t="s">
        <v>24</v>
      </c>
      <c r="E9" s="6" t="s">
        <v>27</v>
      </c>
      <c r="F9" s="13" t="s">
        <v>11</v>
      </c>
      <c r="G9" s="6" t="s">
        <v>12</v>
      </c>
      <c r="H9" s="5"/>
      <c r="I9" s="5">
        <v>206</v>
      </c>
      <c r="J9" s="5">
        <v>400.5</v>
      </c>
      <c r="K9" s="5">
        <v>0</v>
      </c>
    </row>
    <row r="10" spans="1:11" s="17" customFormat="1" ht="31.2" x14ac:dyDescent="0.3">
      <c r="A10" s="13" t="s">
        <v>16</v>
      </c>
      <c r="B10" s="13" t="s">
        <v>29</v>
      </c>
      <c r="C10" s="14">
        <v>1900302</v>
      </c>
      <c r="D10" s="13" t="s">
        <v>30</v>
      </c>
      <c r="E10" s="14">
        <v>4755</v>
      </c>
      <c r="F10" s="13" t="s">
        <v>88</v>
      </c>
      <c r="G10" s="6" t="s">
        <v>15</v>
      </c>
      <c r="H10" s="5"/>
      <c r="I10" s="5">
        <v>133</v>
      </c>
      <c r="J10" s="5">
        <v>313</v>
      </c>
      <c r="K10" s="5">
        <v>7</v>
      </c>
    </row>
    <row r="11" spans="1:11" s="17" customFormat="1" ht="31.2" x14ac:dyDescent="0.3">
      <c r="A11" s="13" t="s">
        <v>16</v>
      </c>
      <c r="B11" s="13" t="s">
        <v>32</v>
      </c>
      <c r="C11" s="14">
        <v>1900303</v>
      </c>
      <c r="D11" s="13" t="s">
        <v>33</v>
      </c>
      <c r="E11" s="14">
        <v>3669</v>
      </c>
      <c r="F11" s="13" t="s">
        <v>11</v>
      </c>
      <c r="G11" s="6" t="s">
        <v>12</v>
      </c>
      <c r="H11" s="5"/>
      <c r="I11" s="5">
        <v>41</v>
      </c>
      <c r="J11" s="5">
        <v>323.5</v>
      </c>
      <c r="K11" s="5">
        <v>12</v>
      </c>
    </row>
    <row r="12" spans="1:11" s="17" customFormat="1" ht="31.2" x14ac:dyDescent="0.3">
      <c r="A12" s="13" t="s">
        <v>16</v>
      </c>
      <c r="B12" s="13" t="s">
        <v>17</v>
      </c>
      <c r="C12" s="14">
        <v>1900327</v>
      </c>
      <c r="D12" s="13" t="s">
        <v>18</v>
      </c>
      <c r="E12" s="6" t="s">
        <v>19</v>
      </c>
      <c r="F12" s="13" t="s">
        <v>97</v>
      </c>
      <c r="G12" s="6" t="s">
        <v>15</v>
      </c>
      <c r="H12" s="5"/>
      <c r="I12" s="5">
        <v>41</v>
      </c>
      <c r="J12" s="5">
        <v>230</v>
      </c>
      <c r="K12" s="5">
        <v>5</v>
      </c>
    </row>
    <row r="13" spans="1:11" s="17" customFormat="1" ht="31.2" x14ac:dyDescent="0.3">
      <c r="A13" s="13" t="s">
        <v>16</v>
      </c>
      <c r="B13" s="13" t="s">
        <v>17</v>
      </c>
      <c r="C13" s="14">
        <v>1900327</v>
      </c>
      <c r="D13" s="13" t="s">
        <v>18</v>
      </c>
      <c r="E13" s="6" t="s">
        <v>20</v>
      </c>
      <c r="F13" s="13" t="s">
        <v>21</v>
      </c>
      <c r="G13" s="6" t="s">
        <v>15</v>
      </c>
      <c r="H13" s="5"/>
      <c r="I13" s="5">
        <v>114</v>
      </c>
      <c r="J13" s="5">
        <v>335</v>
      </c>
      <c r="K13" s="5">
        <v>4</v>
      </c>
    </row>
    <row r="14" spans="1:11" s="17" customFormat="1" ht="31.2" x14ac:dyDescent="0.3">
      <c r="A14" s="13" t="s">
        <v>16</v>
      </c>
      <c r="B14" s="13" t="s">
        <v>17</v>
      </c>
      <c r="C14" s="14">
        <v>1900327</v>
      </c>
      <c r="D14" s="13" t="s">
        <v>18</v>
      </c>
      <c r="E14" s="6" t="s">
        <v>22</v>
      </c>
      <c r="F14" s="13" t="s">
        <v>23</v>
      </c>
      <c r="G14" s="6" t="s">
        <v>15</v>
      </c>
      <c r="H14" s="5"/>
      <c r="I14" s="5">
        <v>80.5</v>
      </c>
      <c r="J14" s="5">
        <v>178</v>
      </c>
      <c r="K14" s="5">
        <v>16</v>
      </c>
    </row>
    <row r="15" spans="1:11" s="17" customFormat="1" ht="62.4" x14ac:dyDescent="0.3">
      <c r="A15" s="13" t="s">
        <v>34</v>
      </c>
      <c r="B15" s="13" t="s">
        <v>35</v>
      </c>
      <c r="C15" s="14">
        <v>1900405</v>
      </c>
      <c r="D15" s="13" t="s">
        <v>36</v>
      </c>
      <c r="E15" s="14">
        <v>4435</v>
      </c>
      <c r="F15" s="13" t="s">
        <v>100</v>
      </c>
      <c r="G15" s="6" t="s">
        <v>15</v>
      </c>
      <c r="H15" s="5"/>
      <c r="I15" s="5">
        <v>30</v>
      </c>
      <c r="J15" s="5">
        <v>203</v>
      </c>
      <c r="K15" s="5">
        <v>0</v>
      </c>
    </row>
    <row r="16" spans="1:11" s="17" customFormat="1" ht="62.4" x14ac:dyDescent="0.3">
      <c r="A16" s="13" t="s">
        <v>34</v>
      </c>
      <c r="B16" s="13" t="s">
        <v>35</v>
      </c>
      <c r="C16" s="14">
        <v>1900405</v>
      </c>
      <c r="D16" s="13" t="s">
        <v>36</v>
      </c>
      <c r="E16" s="14">
        <v>4436</v>
      </c>
      <c r="F16" s="13" t="s">
        <v>101</v>
      </c>
      <c r="G16" s="6" t="s">
        <v>15</v>
      </c>
      <c r="H16" s="5"/>
      <c r="I16" s="5">
        <v>155</v>
      </c>
      <c r="J16" s="5">
        <v>380</v>
      </c>
      <c r="K16" s="5">
        <v>0</v>
      </c>
    </row>
    <row r="17" spans="1:11" s="17" customFormat="1" ht="62.4" x14ac:dyDescent="0.3">
      <c r="A17" s="13" t="s">
        <v>34</v>
      </c>
      <c r="B17" s="13" t="s">
        <v>35</v>
      </c>
      <c r="C17" s="14">
        <v>1900405</v>
      </c>
      <c r="D17" s="13" t="s">
        <v>36</v>
      </c>
      <c r="E17" s="14">
        <v>4522</v>
      </c>
      <c r="F17" s="13" t="s">
        <v>103</v>
      </c>
      <c r="G17" s="6" t="s">
        <v>15</v>
      </c>
      <c r="H17" s="5"/>
      <c r="I17" s="5">
        <v>30</v>
      </c>
      <c r="J17" s="5">
        <v>263</v>
      </c>
      <c r="K17" s="5">
        <v>4</v>
      </c>
    </row>
    <row r="18" spans="1:11" s="17" customFormat="1" ht="31.2" x14ac:dyDescent="0.3">
      <c r="A18" s="13" t="s">
        <v>40</v>
      </c>
      <c r="B18" s="13" t="s">
        <v>41</v>
      </c>
      <c r="C18" s="14">
        <v>1900502</v>
      </c>
      <c r="D18" s="13" t="s">
        <v>64</v>
      </c>
      <c r="E18" s="14">
        <v>1138</v>
      </c>
      <c r="F18" s="13" t="s">
        <v>65</v>
      </c>
      <c r="G18" s="6" t="s">
        <v>12</v>
      </c>
      <c r="H18" s="5"/>
      <c r="I18" s="5">
        <v>137</v>
      </c>
      <c r="J18" s="5">
        <v>408.75</v>
      </c>
      <c r="K18" s="5">
        <v>1</v>
      </c>
    </row>
    <row r="19" spans="1:11" s="17" customFormat="1" ht="31.2" x14ac:dyDescent="0.3">
      <c r="A19" s="13" t="s">
        <v>40</v>
      </c>
      <c r="B19" s="13" t="s">
        <v>41</v>
      </c>
      <c r="C19" s="14">
        <v>1900503</v>
      </c>
      <c r="D19" s="13" t="s">
        <v>45</v>
      </c>
      <c r="E19" s="6" t="s">
        <v>46</v>
      </c>
      <c r="F19" s="13" t="s">
        <v>47</v>
      </c>
      <c r="G19" s="6" t="s">
        <v>12</v>
      </c>
      <c r="H19" s="5">
        <v>2</v>
      </c>
      <c r="I19" s="5">
        <v>182.5</v>
      </c>
      <c r="J19" s="5">
        <v>462.5</v>
      </c>
      <c r="K19" s="5">
        <v>1</v>
      </c>
    </row>
    <row r="20" spans="1:11" s="17" customFormat="1" ht="31.2" x14ac:dyDescent="0.3">
      <c r="A20" s="13" t="s">
        <v>40</v>
      </c>
      <c r="B20" s="13" t="s">
        <v>41</v>
      </c>
      <c r="C20" s="14">
        <v>1900503</v>
      </c>
      <c r="D20" s="13" t="s">
        <v>45</v>
      </c>
      <c r="E20" s="6" t="s">
        <v>48</v>
      </c>
      <c r="F20" s="13" t="s">
        <v>49</v>
      </c>
      <c r="G20" s="6" t="s">
        <v>12</v>
      </c>
      <c r="H20" s="5">
        <v>4</v>
      </c>
      <c r="I20" s="5">
        <v>207.5</v>
      </c>
      <c r="J20" s="5">
        <v>447.5</v>
      </c>
      <c r="K20" s="5">
        <v>0</v>
      </c>
    </row>
    <row r="21" spans="1:11" s="17" customFormat="1" ht="31.2" x14ac:dyDescent="0.3">
      <c r="A21" s="13" t="s">
        <v>40</v>
      </c>
      <c r="B21" s="13" t="s">
        <v>41</v>
      </c>
      <c r="C21" s="14">
        <v>1900503</v>
      </c>
      <c r="D21" s="13" t="s">
        <v>45</v>
      </c>
      <c r="E21" s="6" t="s">
        <v>50</v>
      </c>
      <c r="F21" s="13" t="s">
        <v>11</v>
      </c>
      <c r="G21" s="6" t="s">
        <v>12</v>
      </c>
      <c r="H21" s="7"/>
      <c r="I21" s="5">
        <v>312.5</v>
      </c>
      <c r="J21" s="5">
        <v>459</v>
      </c>
      <c r="K21" s="5">
        <v>0</v>
      </c>
    </row>
    <row r="22" spans="1:11" s="17" customFormat="1" ht="31.2" x14ac:dyDescent="0.3">
      <c r="A22" s="13" t="s">
        <v>40</v>
      </c>
      <c r="B22" s="13" t="s">
        <v>41</v>
      </c>
      <c r="C22" s="14">
        <v>1900504</v>
      </c>
      <c r="D22" s="13" t="s">
        <v>42</v>
      </c>
      <c r="E22" s="14">
        <v>2024</v>
      </c>
      <c r="F22" s="13" t="s">
        <v>43</v>
      </c>
      <c r="G22" s="6" t="s">
        <v>12</v>
      </c>
      <c r="H22" s="5">
        <v>1</v>
      </c>
      <c r="I22" s="5">
        <v>285</v>
      </c>
      <c r="J22" s="5">
        <v>431.5</v>
      </c>
      <c r="K22" s="5">
        <v>0</v>
      </c>
    </row>
    <row r="23" spans="1:11" s="17" customFormat="1" ht="31.2" x14ac:dyDescent="0.3">
      <c r="A23" s="13" t="s">
        <v>40</v>
      </c>
      <c r="B23" s="13" t="s">
        <v>41</v>
      </c>
      <c r="C23" s="14">
        <v>1900504</v>
      </c>
      <c r="D23" s="13" t="s">
        <v>42</v>
      </c>
      <c r="E23" s="14">
        <v>2307</v>
      </c>
      <c r="F23" s="13" t="s">
        <v>44</v>
      </c>
      <c r="G23" s="6" t="s">
        <v>12</v>
      </c>
      <c r="H23" s="5">
        <v>1</v>
      </c>
      <c r="I23" s="5">
        <v>263.5</v>
      </c>
      <c r="J23" s="5">
        <v>467.25</v>
      </c>
      <c r="K23" s="5">
        <v>0</v>
      </c>
    </row>
    <row r="24" spans="1:11" s="17" customFormat="1" ht="46.8" x14ac:dyDescent="0.3">
      <c r="A24" s="18" t="s">
        <v>40</v>
      </c>
      <c r="B24" s="18" t="s">
        <v>41</v>
      </c>
      <c r="C24" s="19">
        <v>1900505</v>
      </c>
      <c r="D24" s="18" t="s">
        <v>51</v>
      </c>
      <c r="E24" s="14">
        <v>4653</v>
      </c>
      <c r="F24" s="13" t="s">
        <v>105</v>
      </c>
      <c r="G24" s="6" t="s">
        <v>15</v>
      </c>
      <c r="H24" s="5"/>
      <c r="I24" s="5">
        <v>0</v>
      </c>
      <c r="J24" s="5">
        <v>0</v>
      </c>
      <c r="K24" s="5">
        <v>13</v>
      </c>
    </row>
    <row r="25" spans="1:11" s="17" customFormat="1" ht="46.8" x14ac:dyDescent="0.3">
      <c r="A25" s="18" t="s">
        <v>40</v>
      </c>
      <c r="B25" s="18" t="s">
        <v>41</v>
      </c>
      <c r="C25" s="19">
        <v>1900505</v>
      </c>
      <c r="D25" s="18" t="s">
        <v>51</v>
      </c>
      <c r="E25" s="14">
        <v>4654</v>
      </c>
      <c r="F25" s="13" t="s">
        <v>106</v>
      </c>
      <c r="G25" s="6" t="s">
        <v>15</v>
      </c>
      <c r="H25" s="5"/>
      <c r="I25" s="5">
        <v>319.5</v>
      </c>
      <c r="J25" s="5">
        <v>319.5</v>
      </c>
      <c r="K25" s="5">
        <v>12</v>
      </c>
    </row>
    <row r="26" spans="1:11" s="17" customFormat="1" ht="46.8" x14ac:dyDescent="0.3">
      <c r="A26" s="13" t="s">
        <v>40</v>
      </c>
      <c r="B26" s="13" t="s">
        <v>41</v>
      </c>
      <c r="C26" s="14">
        <v>1900505</v>
      </c>
      <c r="D26" s="13" t="s">
        <v>51</v>
      </c>
      <c r="E26" s="6" t="s">
        <v>52</v>
      </c>
      <c r="F26" s="13" t="s">
        <v>53</v>
      </c>
      <c r="G26" s="6" t="s">
        <v>15</v>
      </c>
      <c r="H26" s="7"/>
      <c r="I26" s="5">
        <v>131</v>
      </c>
      <c r="J26" s="5">
        <v>309.25</v>
      </c>
      <c r="K26" s="5">
        <v>4</v>
      </c>
    </row>
    <row r="27" spans="1:11" s="17" customFormat="1" ht="46.8" x14ac:dyDescent="0.3">
      <c r="A27" s="13" t="s">
        <v>40</v>
      </c>
      <c r="B27" s="13" t="s">
        <v>41</v>
      </c>
      <c r="C27" s="14">
        <v>1900505</v>
      </c>
      <c r="D27" s="13" t="s">
        <v>51</v>
      </c>
      <c r="E27" s="6" t="s">
        <v>54</v>
      </c>
      <c r="F27" s="13" t="s">
        <v>101</v>
      </c>
      <c r="G27" s="6" t="s">
        <v>15</v>
      </c>
      <c r="H27" s="5"/>
      <c r="I27" s="5">
        <v>199</v>
      </c>
      <c r="J27" s="5">
        <v>318.75</v>
      </c>
      <c r="K27" s="5">
        <v>0</v>
      </c>
    </row>
    <row r="28" spans="1:11" s="17" customFormat="1" ht="46.8" x14ac:dyDescent="0.3">
      <c r="A28" s="13" t="s">
        <v>40</v>
      </c>
      <c r="B28" s="13" t="s">
        <v>41</v>
      </c>
      <c r="C28" s="14">
        <v>1900506</v>
      </c>
      <c r="D28" s="13" t="s">
        <v>56</v>
      </c>
      <c r="E28" s="14">
        <v>3076</v>
      </c>
      <c r="F28" s="13" t="s">
        <v>57</v>
      </c>
      <c r="G28" s="6" t="s">
        <v>15</v>
      </c>
      <c r="H28" s="5">
        <v>1</v>
      </c>
      <c r="I28" s="5">
        <v>212</v>
      </c>
      <c r="J28" s="5">
        <v>365</v>
      </c>
      <c r="K28" s="5">
        <v>1</v>
      </c>
    </row>
    <row r="29" spans="1:11" s="17" customFormat="1" ht="46.8" x14ac:dyDescent="0.3">
      <c r="A29" s="13" t="s">
        <v>40</v>
      </c>
      <c r="B29" s="13" t="s">
        <v>41</v>
      </c>
      <c r="C29" s="14">
        <v>1900506</v>
      </c>
      <c r="D29" s="13" t="s">
        <v>56</v>
      </c>
      <c r="E29" s="14">
        <v>4483</v>
      </c>
      <c r="F29" s="13" t="s">
        <v>89</v>
      </c>
      <c r="G29" s="6" t="s">
        <v>15</v>
      </c>
      <c r="H29" s="5">
        <v>1</v>
      </c>
      <c r="I29" s="5">
        <v>252.5</v>
      </c>
      <c r="J29" s="5">
        <v>381.75</v>
      </c>
      <c r="K29" s="5">
        <v>0</v>
      </c>
    </row>
    <row r="30" spans="1:11" s="17" customFormat="1" ht="46.8" x14ac:dyDescent="0.3">
      <c r="A30" s="13" t="s">
        <v>40</v>
      </c>
      <c r="B30" s="13" t="s">
        <v>41</v>
      </c>
      <c r="C30" s="14">
        <v>1900506</v>
      </c>
      <c r="D30" s="13" t="s">
        <v>56</v>
      </c>
      <c r="E30" s="14">
        <v>4484</v>
      </c>
      <c r="F30" s="13" t="s">
        <v>90</v>
      </c>
      <c r="G30" s="6" t="s">
        <v>15</v>
      </c>
      <c r="H30" s="5">
        <v>4</v>
      </c>
      <c r="I30" s="5">
        <v>198.5</v>
      </c>
      <c r="J30" s="5">
        <v>383.75</v>
      </c>
      <c r="K30" s="5">
        <v>0</v>
      </c>
    </row>
    <row r="31" spans="1:11" s="17" customFormat="1" ht="31.2" x14ac:dyDescent="0.3">
      <c r="A31" s="13" t="s">
        <v>40</v>
      </c>
      <c r="B31" s="13" t="s">
        <v>41</v>
      </c>
      <c r="C31" s="14">
        <v>1900507</v>
      </c>
      <c r="D31" s="13" t="s">
        <v>63</v>
      </c>
      <c r="E31" s="14">
        <v>4350</v>
      </c>
      <c r="F31" s="13" t="s">
        <v>14</v>
      </c>
      <c r="G31" s="6" t="s">
        <v>15</v>
      </c>
      <c r="H31" s="7"/>
      <c r="I31" s="5">
        <v>30</v>
      </c>
      <c r="J31" s="5">
        <v>288</v>
      </c>
      <c r="K31" s="5">
        <v>6</v>
      </c>
    </row>
    <row r="32" spans="1:11" s="17" customFormat="1" ht="46.8" x14ac:dyDescent="0.3">
      <c r="A32" s="13" t="s">
        <v>40</v>
      </c>
      <c r="B32" s="13" t="s">
        <v>41</v>
      </c>
      <c r="C32" s="14">
        <v>1900508</v>
      </c>
      <c r="D32" s="13" t="s">
        <v>60</v>
      </c>
      <c r="E32" s="14">
        <v>1860</v>
      </c>
      <c r="F32" s="13" t="s">
        <v>61</v>
      </c>
      <c r="G32" s="6" t="s">
        <v>15</v>
      </c>
      <c r="H32" s="7"/>
      <c r="I32" s="5">
        <v>179</v>
      </c>
      <c r="J32" s="5">
        <v>388.75</v>
      </c>
      <c r="K32" s="5">
        <v>3</v>
      </c>
    </row>
    <row r="33" spans="1:11" s="17" customFormat="1" ht="46.8" x14ac:dyDescent="0.3">
      <c r="A33" s="13" t="s">
        <v>40</v>
      </c>
      <c r="B33" s="13" t="s">
        <v>41</v>
      </c>
      <c r="C33" s="14">
        <v>1900508</v>
      </c>
      <c r="D33" s="13" t="s">
        <v>60</v>
      </c>
      <c r="E33" s="14">
        <v>1866</v>
      </c>
      <c r="F33" s="13" t="s">
        <v>99</v>
      </c>
      <c r="G33" s="6" t="s">
        <v>15</v>
      </c>
      <c r="H33" s="5">
        <v>1</v>
      </c>
      <c r="I33" s="5">
        <v>216.5</v>
      </c>
      <c r="J33" s="5">
        <v>263.5</v>
      </c>
      <c r="K33" s="5">
        <v>6</v>
      </c>
    </row>
    <row r="34" spans="1:11" s="17" customFormat="1" ht="62.4" x14ac:dyDescent="0.3">
      <c r="A34" s="13" t="s">
        <v>40</v>
      </c>
      <c r="B34" s="13" t="s">
        <v>41</v>
      </c>
      <c r="C34" s="14">
        <v>1900510</v>
      </c>
      <c r="D34" s="13" t="s">
        <v>55</v>
      </c>
      <c r="E34" s="14">
        <v>4487</v>
      </c>
      <c r="F34" s="13" t="s">
        <v>102</v>
      </c>
      <c r="G34" s="6" t="s">
        <v>15</v>
      </c>
      <c r="H34" s="5"/>
      <c r="I34" s="5">
        <v>60</v>
      </c>
      <c r="J34" s="5">
        <v>315.75</v>
      </c>
      <c r="K34" s="5">
        <v>13</v>
      </c>
    </row>
    <row r="35" spans="1:11" s="17" customFormat="1" ht="31.2" x14ac:dyDescent="0.3">
      <c r="A35" s="13" t="s">
        <v>40</v>
      </c>
      <c r="B35" s="13" t="s">
        <v>66</v>
      </c>
      <c r="C35" s="14">
        <v>1900517</v>
      </c>
      <c r="D35" s="13" t="s">
        <v>67</v>
      </c>
      <c r="E35" s="14">
        <v>1943</v>
      </c>
      <c r="F35" s="13" t="s">
        <v>91</v>
      </c>
      <c r="G35" s="6" t="s">
        <v>15</v>
      </c>
      <c r="H35" s="5"/>
      <c r="I35" s="5">
        <v>62</v>
      </c>
      <c r="J35" s="5">
        <v>210</v>
      </c>
      <c r="K35" s="5">
        <v>12</v>
      </c>
    </row>
    <row r="36" spans="1:11" s="17" customFormat="1" ht="31.2" x14ac:dyDescent="0.3">
      <c r="A36" s="13" t="s">
        <v>69</v>
      </c>
      <c r="B36" s="13" t="s">
        <v>70</v>
      </c>
      <c r="C36" s="14">
        <v>1900605</v>
      </c>
      <c r="D36" s="13" t="s">
        <v>71</v>
      </c>
      <c r="E36" s="14">
        <v>4583</v>
      </c>
      <c r="F36" s="13" t="s">
        <v>104</v>
      </c>
      <c r="G36" s="6" t="s">
        <v>15</v>
      </c>
      <c r="H36" s="5"/>
      <c r="I36" s="5">
        <v>30</v>
      </c>
      <c r="J36" s="5">
        <v>269.5</v>
      </c>
      <c r="K36" s="5">
        <v>2</v>
      </c>
    </row>
    <row r="37" spans="1:11" s="17" customFormat="1" ht="31.2" x14ac:dyDescent="0.3">
      <c r="A37" s="13" t="s">
        <v>69</v>
      </c>
      <c r="B37" s="13" t="s">
        <v>70</v>
      </c>
      <c r="C37" s="14">
        <v>1900605</v>
      </c>
      <c r="D37" s="13" t="s">
        <v>71</v>
      </c>
      <c r="E37" s="14">
        <v>4593</v>
      </c>
      <c r="F37" s="13" t="s">
        <v>101</v>
      </c>
      <c r="G37" s="6" t="s">
        <v>15</v>
      </c>
      <c r="H37" s="5"/>
      <c r="I37" s="5">
        <v>30</v>
      </c>
      <c r="J37" s="5">
        <v>278</v>
      </c>
      <c r="K37" s="5">
        <v>1</v>
      </c>
    </row>
    <row r="38" spans="1:11" s="17" customFormat="1" ht="31.2" x14ac:dyDescent="0.3">
      <c r="A38" s="13" t="s">
        <v>73</v>
      </c>
      <c r="B38" s="13" t="s">
        <v>74</v>
      </c>
      <c r="C38" s="14">
        <v>1900701</v>
      </c>
      <c r="D38" s="13" t="s">
        <v>75</v>
      </c>
      <c r="E38" s="14">
        <v>3995</v>
      </c>
      <c r="F38" s="13" t="s">
        <v>77</v>
      </c>
      <c r="G38" s="6" t="s">
        <v>12</v>
      </c>
      <c r="H38" s="5"/>
      <c r="I38" s="5">
        <v>107</v>
      </c>
      <c r="J38" s="5">
        <v>393</v>
      </c>
      <c r="K38" s="5">
        <v>4</v>
      </c>
    </row>
    <row r="39" spans="1:11" s="17" customFormat="1" ht="31.2" x14ac:dyDescent="0.3">
      <c r="A39" s="13" t="s">
        <v>73</v>
      </c>
      <c r="B39" s="13" t="s">
        <v>74</v>
      </c>
      <c r="C39" s="14">
        <v>1900701</v>
      </c>
      <c r="D39" s="13" t="s">
        <v>75</v>
      </c>
      <c r="E39" s="6" t="s">
        <v>76</v>
      </c>
      <c r="F39" s="13" t="s">
        <v>92</v>
      </c>
      <c r="G39" s="6" t="s">
        <v>12</v>
      </c>
      <c r="H39" s="5"/>
      <c r="I39" s="5">
        <v>52</v>
      </c>
      <c r="J39" s="5">
        <v>419</v>
      </c>
      <c r="K39" s="5">
        <v>8</v>
      </c>
    </row>
    <row r="40" spans="1:11" s="17" customFormat="1" ht="31.2" x14ac:dyDescent="0.3">
      <c r="A40" s="13" t="s">
        <v>73</v>
      </c>
      <c r="B40" s="13" t="s">
        <v>74</v>
      </c>
      <c r="C40" s="14">
        <v>1900702</v>
      </c>
      <c r="D40" s="13" t="s">
        <v>78</v>
      </c>
      <c r="E40" s="6" t="s">
        <v>79</v>
      </c>
      <c r="F40" s="13" t="s">
        <v>80</v>
      </c>
      <c r="G40" s="6" t="s">
        <v>15</v>
      </c>
      <c r="H40" s="5"/>
      <c r="I40" s="5">
        <v>64</v>
      </c>
      <c r="J40" s="5">
        <v>419.5</v>
      </c>
      <c r="K40" s="5">
        <v>8</v>
      </c>
    </row>
    <row r="41" spans="1:11" s="17" customFormat="1" ht="31.2" x14ac:dyDescent="0.3">
      <c r="A41" s="13" t="s">
        <v>73</v>
      </c>
      <c r="B41" s="13" t="s">
        <v>74</v>
      </c>
      <c r="C41" s="14">
        <v>1900702</v>
      </c>
      <c r="D41" s="13" t="s">
        <v>78</v>
      </c>
      <c r="E41" s="6" t="s">
        <v>81</v>
      </c>
      <c r="F41" s="13" t="s">
        <v>82</v>
      </c>
      <c r="G41" s="6" t="s">
        <v>15</v>
      </c>
      <c r="H41" s="5"/>
      <c r="I41" s="5">
        <v>146</v>
      </c>
      <c r="J41" s="5">
        <v>402.5</v>
      </c>
      <c r="K41" s="5">
        <v>0</v>
      </c>
    </row>
    <row r="42" spans="1:11" s="17" customFormat="1" ht="15.6" x14ac:dyDescent="0.3">
      <c r="C42" s="20"/>
      <c r="E42" s="20"/>
      <c r="G42" s="20"/>
      <c r="H42" s="9">
        <f t="shared" ref="H42:K42" si="0">SUM(H5:H41)</f>
        <v>15</v>
      </c>
      <c r="I42" s="9"/>
      <c r="J42" s="9"/>
      <c r="K42" s="9">
        <f t="shared" si="0"/>
        <v>155</v>
      </c>
    </row>
  </sheetData>
  <sortState ref="A5:W41">
    <sortCondition ref="C5:C41"/>
    <sortCondition ref="E5:E41"/>
  </sortState>
  <mergeCells count="10">
    <mergeCell ref="A1:G1"/>
    <mergeCell ref="G3:G4"/>
    <mergeCell ref="H3:J3"/>
    <mergeCell ref="A3:A4"/>
    <mergeCell ref="B3:B4"/>
    <mergeCell ref="C3:C4"/>
    <mergeCell ref="D3:D4"/>
    <mergeCell ref="E3:E4"/>
    <mergeCell ref="F3:F4"/>
    <mergeCell ref="K3:K4"/>
  </mergeCells>
  <pageMargins left="0" right="0" top="0.59055118110236227" bottom="0.39370078740157483" header="0.31496062992125984" footer="0.31496062992125984"/>
  <pageSetup paperSize="8" scale="53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workbookViewId="0">
      <selection sqref="A1:G1"/>
    </sheetView>
  </sheetViews>
  <sheetFormatPr defaultColWidth="9.109375" defaultRowHeight="14.4" x14ac:dyDescent="0.3"/>
  <cols>
    <col min="1" max="1" width="12.33203125" style="21" customWidth="1"/>
    <col min="2" max="2" width="15.88671875" style="21" customWidth="1"/>
    <col min="3" max="3" width="9.44140625" style="22" customWidth="1"/>
    <col min="4" max="4" width="29.109375" style="21" customWidth="1"/>
    <col min="5" max="5" width="6" style="22" customWidth="1"/>
    <col min="6" max="6" width="23.6640625" style="21" customWidth="1"/>
    <col min="7" max="7" width="17.5546875" style="22" customWidth="1"/>
    <col min="8" max="11" width="9.109375" style="21" customWidth="1"/>
    <col min="12" max="16384" width="9.109375" style="21"/>
  </cols>
  <sheetData>
    <row r="1" spans="1:11" ht="20.399999999999999" x14ac:dyDescent="0.35">
      <c r="A1" s="38" t="s">
        <v>122</v>
      </c>
      <c r="B1" s="38"/>
      <c r="C1" s="38"/>
      <c r="D1" s="38"/>
      <c r="E1" s="38"/>
      <c r="F1" s="38"/>
      <c r="G1" s="38"/>
    </row>
    <row r="2" spans="1:11" x14ac:dyDescent="0.3">
      <c r="C2" s="21"/>
      <c r="E2" s="21"/>
    </row>
    <row r="3" spans="1:11" ht="45" customHeight="1" x14ac:dyDescent="0.3">
      <c r="A3" s="41" t="s">
        <v>0</v>
      </c>
      <c r="B3" s="41" t="s">
        <v>1</v>
      </c>
      <c r="C3" s="41" t="s">
        <v>2</v>
      </c>
      <c r="D3" s="41" t="s">
        <v>3</v>
      </c>
      <c r="E3" s="41" t="s">
        <v>4</v>
      </c>
      <c r="F3" s="41" t="s">
        <v>5</v>
      </c>
      <c r="G3" s="41" t="s">
        <v>6</v>
      </c>
      <c r="H3" s="32" t="s">
        <v>84</v>
      </c>
      <c r="I3" s="33"/>
      <c r="J3" s="34"/>
      <c r="K3" s="35" t="s">
        <v>94</v>
      </c>
    </row>
    <row r="4" spans="1:11" ht="31.2" x14ac:dyDescent="0.3">
      <c r="A4" s="42"/>
      <c r="B4" s="42"/>
      <c r="C4" s="42"/>
      <c r="D4" s="42"/>
      <c r="E4" s="42"/>
      <c r="F4" s="42"/>
      <c r="G4" s="42"/>
      <c r="H4" s="9" t="s">
        <v>83</v>
      </c>
      <c r="I4" s="9" t="s">
        <v>85</v>
      </c>
      <c r="J4" s="9" t="s">
        <v>86</v>
      </c>
      <c r="K4" s="36"/>
    </row>
    <row r="5" spans="1:11" s="10" customFormat="1" ht="27.6" x14ac:dyDescent="0.3">
      <c r="A5" s="23" t="s">
        <v>7</v>
      </c>
      <c r="B5" s="23" t="s">
        <v>8</v>
      </c>
      <c r="C5" s="24">
        <v>1900201</v>
      </c>
      <c r="D5" s="23" t="s">
        <v>9</v>
      </c>
      <c r="E5" s="25" t="s">
        <v>10</v>
      </c>
      <c r="F5" s="23" t="s">
        <v>11</v>
      </c>
      <c r="G5" s="26" t="s">
        <v>12</v>
      </c>
      <c r="H5" s="27"/>
      <c r="I5" s="5">
        <v>30</v>
      </c>
      <c r="J5" s="5">
        <v>319</v>
      </c>
      <c r="K5" s="16">
        <v>8</v>
      </c>
    </row>
    <row r="6" spans="1:11" s="10" customFormat="1" ht="27.6" x14ac:dyDescent="0.3">
      <c r="A6" s="23" t="s">
        <v>7</v>
      </c>
      <c r="B6" s="23" t="s">
        <v>8</v>
      </c>
      <c r="C6" s="24">
        <v>1900201</v>
      </c>
      <c r="D6" s="23" t="s">
        <v>9</v>
      </c>
      <c r="E6" s="25" t="s">
        <v>13</v>
      </c>
      <c r="F6" s="23" t="s">
        <v>14</v>
      </c>
      <c r="G6" s="26" t="s">
        <v>15</v>
      </c>
      <c r="H6" s="27"/>
      <c r="I6" s="5">
        <v>30</v>
      </c>
      <c r="J6" s="5">
        <v>166</v>
      </c>
      <c r="K6" s="16">
        <v>9</v>
      </c>
    </row>
    <row r="7" spans="1:11" s="10" customFormat="1" ht="27.6" x14ac:dyDescent="0.3">
      <c r="A7" s="23" t="s">
        <v>16</v>
      </c>
      <c r="B7" s="23" t="s">
        <v>17</v>
      </c>
      <c r="C7" s="24">
        <v>1900301</v>
      </c>
      <c r="D7" s="23" t="s">
        <v>24</v>
      </c>
      <c r="E7" s="25">
        <v>3704</v>
      </c>
      <c r="F7" s="23" t="s">
        <v>28</v>
      </c>
      <c r="G7" s="26" t="s">
        <v>15</v>
      </c>
      <c r="H7" s="5">
        <v>3</v>
      </c>
      <c r="I7" s="5">
        <v>189</v>
      </c>
      <c r="J7" s="5">
        <v>383</v>
      </c>
      <c r="K7" s="16">
        <v>0</v>
      </c>
    </row>
    <row r="8" spans="1:11" s="10" customFormat="1" ht="27.6" x14ac:dyDescent="0.3">
      <c r="A8" s="23" t="s">
        <v>16</v>
      </c>
      <c r="B8" s="23" t="s">
        <v>17</v>
      </c>
      <c r="C8" s="24">
        <v>1900301</v>
      </c>
      <c r="D8" s="23" t="s">
        <v>24</v>
      </c>
      <c r="E8" s="25" t="s">
        <v>25</v>
      </c>
      <c r="F8" s="23" t="s">
        <v>26</v>
      </c>
      <c r="G8" s="26" t="s">
        <v>12</v>
      </c>
      <c r="H8" s="27"/>
      <c r="I8" s="5">
        <v>249</v>
      </c>
      <c r="J8" s="5">
        <v>422.5</v>
      </c>
      <c r="K8" s="16">
        <v>0</v>
      </c>
    </row>
    <row r="9" spans="1:11" s="10" customFormat="1" ht="27.6" x14ac:dyDescent="0.3">
      <c r="A9" s="23" t="s">
        <v>16</v>
      </c>
      <c r="B9" s="23" t="s">
        <v>17</v>
      </c>
      <c r="C9" s="24">
        <v>1900301</v>
      </c>
      <c r="D9" s="23" t="s">
        <v>24</v>
      </c>
      <c r="E9" s="25" t="s">
        <v>27</v>
      </c>
      <c r="F9" s="23" t="s">
        <v>11</v>
      </c>
      <c r="G9" s="26" t="s">
        <v>12</v>
      </c>
      <c r="H9" s="27"/>
      <c r="I9" s="5">
        <v>286</v>
      </c>
      <c r="J9" s="5">
        <v>448</v>
      </c>
      <c r="K9" s="16">
        <v>0</v>
      </c>
    </row>
    <row r="10" spans="1:11" s="10" customFormat="1" ht="41.4" x14ac:dyDescent="0.3">
      <c r="A10" s="23" t="s">
        <v>16</v>
      </c>
      <c r="B10" s="23" t="s">
        <v>29</v>
      </c>
      <c r="C10" s="24">
        <v>1900302</v>
      </c>
      <c r="D10" s="23" t="s">
        <v>30</v>
      </c>
      <c r="E10" s="25">
        <v>5001</v>
      </c>
      <c r="F10" s="23" t="s">
        <v>107</v>
      </c>
      <c r="G10" s="26" t="s">
        <v>15</v>
      </c>
      <c r="H10" s="27"/>
      <c r="I10" s="5">
        <v>122</v>
      </c>
      <c r="J10" s="5">
        <v>368.5</v>
      </c>
      <c r="K10" s="16">
        <v>13</v>
      </c>
    </row>
    <row r="11" spans="1:11" s="10" customFormat="1" ht="27.6" x14ac:dyDescent="0.3">
      <c r="A11" s="23" t="s">
        <v>16</v>
      </c>
      <c r="B11" s="23" t="s">
        <v>32</v>
      </c>
      <c r="C11" s="24">
        <v>1900303</v>
      </c>
      <c r="D11" s="23" t="s">
        <v>33</v>
      </c>
      <c r="E11" s="25">
        <v>3669</v>
      </c>
      <c r="F11" s="23" t="s">
        <v>11</v>
      </c>
      <c r="G11" s="26" t="s">
        <v>12</v>
      </c>
      <c r="H11" s="27"/>
      <c r="I11" s="5">
        <v>159</v>
      </c>
      <c r="J11" s="5">
        <v>370.5</v>
      </c>
      <c r="K11" s="16">
        <v>7</v>
      </c>
    </row>
    <row r="12" spans="1:11" s="10" customFormat="1" ht="41.4" x14ac:dyDescent="0.3">
      <c r="A12" s="23" t="s">
        <v>16</v>
      </c>
      <c r="B12" s="23" t="s">
        <v>17</v>
      </c>
      <c r="C12" s="24">
        <v>1900327</v>
      </c>
      <c r="D12" s="23" t="s">
        <v>18</v>
      </c>
      <c r="E12" s="25" t="s">
        <v>19</v>
      </c>
      <c r="F12" s="23" t="s">
        <v>121</v>
      </c>
      <c r="G12" s="26" t="s">
        <v>15</v>
      </c>
      <c r="H12" s="27"/>
      <c r="I12" s="5">
        <v>92</v>
      </c>
      <c r="J12" s="5">
        <v>283.5</v>
      </c>
      <c r="K12" s="16">
        <v>2</v>
      </c>
    </row>
    <row r="13" spans="1:11" s="10" customFormat="1" ht="41.4" x14ac:dyDescent="0.3">
      <c r="A13" s="23" t="s">
        <v>16</v>
      </c>
      <c r="B13" s="23" t="s">
        <v>17</v>
      </c>
      <c r="C13" s="24">
        <v>1900327</v>
      </c>
      <c r="D13" s="23" t="s">
        <v>18</v>
      </c>
      <c r="E13" s="25" t="s">
        <v>20</v>
      </c>
      <c r="F13" s="23" t="s">
        <v>21</v>
      </c>
      <c r="G13" s="26" t="s">
        <v>15</v>
      </c>
      <c r="H13" s="5">
        <v>1</v>
      </c>
      <c r="I13" s="5">
        <v>65</v>
      </c>
      <c r="J13" s="5">
        <v>270</v>
      </c>
      <c r="K13" s="16">
        <v>11</v>
      </c>
    </row>
    <row r="14" spans="1:11" s="10" customFormat="1" ht="41.4" x14ac:dyDescent="0.3">
      <c r="A14" s="23" t="s">
        <v>16</v>
      </c>
      <c r="B14" s="23" t="s">
        <v>17</v>
      </c>
      <c r="C14" s="24">
        <v>1900327</v>
      </c>
      <c r="D14" s="23" t="s">
        <v>18</v>
      </c>
      <c r="E14" s="25" t="s">
        <v>22</v>
      </c>
      <c r="F14" s="23" t="s">
        <v>23</v>
      </c>
      <c r="G14" s="26" t="s">
        <v>15</v>
      </c>
      <c r="H14" s="27"/>
      <c r="I14" s="5">
        <v>86</v>
      </c>
      <c r="J14" s="5">
        <v>259</v>
      </c>
      <c r="K14" s="16">
        <v>18</v>
      </c>
    </row>
    <row r="15" spans="1:11" s="10" customFormat="1" ht="55.2" x14ac:dyDescent="0.3">
      <c r="A15" s="23" t="s">
        <v>34</v>
      </c>
      <c r="B15" s="23" t="s">
        <v>35</v>
      </c>
      <c r="C15" s="24">
        <v>1900405</v>
      </c>
      <c r="D15" s="23" t="s">
        <v>36</v>
      </c>
      <c r="E15" s="25">
        <v>4436</v>
      </c>
      <c r="F15" s="23" t="s">
        <v>112</v>
      </c>
      <c r="G15" s="26" t="s">
        <v>15</v>
      </c>
      <c r="H15" s="27"/>
      <c r="I15" s="5">
        <v>85</v>
      </c>
      <c r="J15" s="5">
        <v>219.5</v>
      </c>
      <c r="K15" s="16">
        <v>3</v>
      </c>
    </row>
    <row r="16" spans="1:11" s="10" customFormat="1" ht="55.2" x14ac:dyDescent="0.3">
      <c r="A16" s="23" t="s">
        <v>34</v>
      </c>
      <c r="B16" s="23" t="s">
        <v>35</v>
      </c>
      <c r="C16" s="24">
        <v>1900405</v>
      </c>
      <c r="D16" s="23" t="s">
        <v>36</v>
      </c>
      <c r="E16" s="25">
        <v>4852</v>
      </c>
      <c r="F16" s="23" t="s">
        <v>117</v>
      </c>
      <c r="G16" s="26" t="s">
        <v>15</v>
      </c>
      <c r="H16" s="27"/>
      <c r="I16" s="5">
        <v>71</v>
      </c>
      <c r="J16" s="5">
        <v>235</v>
      </c>
      <c r="K16" s="16">
        <v>1</v>
      </c>
    </row>
    <row r="17" spans="1:11" s="10" customFormat="1" ht="55.2" x14ac:dyDescent="0.3">
      <c r="A17" s="23" t="s">
        <v>34</v>
      </c>
      <c r="B17" s="23" t="s">
        <v>35</v>
      </c>
      <c r="C17" s="24">
        <v>1900405</v>
      </c>
      <c r="D17" s="23" t="s">
        <v>36</v>
      </c>
      <c r="E17" s="25">
        <v>4853</v>
      </c>
      <c r="F17" s="23" t="s">
        <v>118</v>
      </c>
      <c r="G17" s="26" t="s">
        <v>15</v>
      </c>
      <c r="H17" s="27"/>
      <c r="I17" s="5">
        <v>128</v>
      </c>
      <c r="J17" s="5">
        <v>349</v>
      </c>
      <c r="K17" s="16">
        <v>0</v>
      </c>
    </row>
    <row r="18" spans="1:11" s="10" customFormat="1" ht="55.2" x14ac:dyDescent="0.3">
      <c r="A18" s="23" t="s">
        <v>34</v>
      </c>
      <c r="B18" s="23" t="s">
        <v>35</v>
      </c>
      <c r="C18" s="24">
        <v>1900405</v>
      </c>
      <c r="D18" s="23" t="s">
        <v>36</v>
      </c>
      <c r="E18" s="25">
        <v>4854</v>
      </c>
      <c r="F18" s="23" t="s">
        <v>14</v>
      </c>
      <c r="G18" s="26" t="s">
        <v>15</v>
      </c>
      <c r="H18" s="27"/>
      <c r="I18" s="5">
        <v>65</v>
      </c>
      <c r="J18" s="5">
        <v>233</v>
      </c>
      <c r="K18" s="16">
        <v>0</v>
      </c>
    </row>
    <row r="19" spans="1:11" s="10" customFormat="1" ht="41.4" x14ac:dyDescent="0.3">
      <c r="A19" s="23" t="s">
        <v>40</v>
      </c>
      <c r="B19" s="23" t="s">
        <v>41</v>
      </c>
      <c r="C19" s="24">
        <v>1900502</v>
      </c>
      <c r="D19" s="23" t="s">
        <v>64</v>
      </c>
      <c r="E19" s="25">
        <v>1138</v>
      </c>
      <c r="F19" s="23" t="s">
        <v>65</v>
      </c>
      <c r="G19" s="26" t="s">
        <v>12</v>
      </c>
      <c r="H19" s="5">
        <v>3</v>
      </c>
      <c r="I19" s="5">
        <v>186</v>
      </c>
      <c r="J19" s="5">
        <v>447</v>
      </c>
      <c r="K19" s="16">
        <v>0</v>
      </c>
    </row>
    <row r="20" spans="1:11" s="10" customFormat="1" ht="41.4" x14ac:dyDescent="0.3">
      <c r="A20" s="23" t="s">
        <v>40</v>
      </c>
      <c r="B20" s="23" t="s">
        <v>41</v>
      </c>
      <c r="C20" s="24">
        <v>1900503</v>
      </c>
      <c r="D20" s="23" t="s">
        <v>45</v>
      </c>
      <c r="E20" s="25" t="s">
        <v>46</v>
      </c>
      <c r="F20" s="23" t="s">
        <v>47</v>
      </c>
      <c r="G20" s="26" t="s">
        <v>12</v>
      </c>
      <c r="H20" s="5">
        <v>4</v>
      </c>
      <c r="I20" s="5">
        <v>208.5</v>
      </c>
      <c r="J20" s="5">
        <v>469</v>
      </c>
      <c r="K20" s="16">
        <v>0</v>
      </c>
    </row>
    <row r="21" spans="1:11" s="10" customFormat="1" ht="41.4" x14ac:dyDescent="0.3">
      <c r="A21" s="23" t="s">
        <v>40</v>
      </c>
      <c r="B21" s="23" t="s">
        <v>41</v>
      </c>
      <c r="C21" s="24">
        <v>1900503</v>
      </c>
      <c r="D21" s="23" t="s">
        <v>45</v>
      </c>
      <c r="E21" s="25" t="s">
        <v>48</v>
      </c>
      <c r="F21" s="23" t="s">
        <v>49</v>
      </c>
      <c r="G21" s="26" t="s">
        <v>12</v>
      </c>
      <c r="H21" s="5">
        <v>2</v>
      </c>
      <c r="I21" s="5">
        <v>240</v>
      </c>
      <c r="J21" s="5">
        <v>381.5</v>
      </c>
      <c r="K21" s="16">
        <v>0</v>
      </c>
    </row>
    <row r="22" spans="1:11" s="10" customFormat="1" ht="41.4" x14ac:dyDescent="0.3">
      <c r="A22" s="23" t="s">
        <v>40</v>
      </c>
      <c r="B22" s="23" t="s">
        <v>41</v>
      </c>
      <c r="C22" s="24">
        <v>1900503</v>
      </c>
      <c r="D22" s="23" t="s">
        <v>45</v>
      </c>
      <c r="E22" s="25" t="s">
        <v>50</v>
      </c>
      <c r="F22" s="23" t="s">
        <v>11</v>
      </c>
      <c r="G22" s="26" t="s">
        <v>12</v>
      </c>
      <c r="H22" s="27"/>
      <c r="I22" s="5">
        <v>287</v>
      </c>
      <c r="J22" s="5">
        <v>461.5</v>
      </c>
      <c r="K22" s="16">
        <v>0</v>
      </c>
    </row>
    <row r="23" spans="1:11" s="10" customFormat="1" ht="27.6" x14ac:dyDescent="0.3">
      <c r="A23" s="23" t="s">
        <v>40</v>
      </c>
      <c r="B23" s="23" t="s">
        <v>41</v>
      </c>
      <c r="C23" s="24">
        <v>1900504</v>
      </c>
      <c r="D23" s="23" t="s">
        <v>42</v>
      </c>
      <c r="E23" s="25">
        <v>2024</v>
      </c>
      <c r="F23" s="23" t="s">
        <v>43</v>
      </c>
      <c r="G23" s="26" t="s">
        <v>12</v>
      </c>
      <c r="H23" s="5">
        <v>1</v>
      </c>
      <c r="I23" s="5">
        <v>229</v>
      </c>
      <c r="J23" s="5">
        <v>449</v>
      </c>
      <c r="K23" s="16">
        <v>0</v>
      </c>
    </row>
    <row r="24" spans="1:11" s="10" customFormat="1" ht="27.6" x14ac:dyDescent="0.3">
      <c r="A24" s="23" t="s">
        <v>40</v>
      </c>
      <c r="B24" s="23" t="s">
        <v>41</v>
      </c>
      <c r="C24" s="24">
        <v>1900504</v>
      </c>
      <c r="D24" s="23" t="s">
        <v>42</v>
      </c>
      <c r="E24" s="25">
        <v>2307</v>
      </c>
      <c r="F24" s="23" t="s">
        <v>44</v>
      </c>
      <c r="G24" s="26" t="s">
        <v>12</v>
      </c>
      <c r="H24" s="27"/>
      <c r="I24" s="5">
        <v>141.5</v>
      </c>
      <c r="J24" s="5">
        <v>444.75</v>
      </c>
      <c r="K24" s="16">
        <v>5</v>
      </c>
    </row>
    <row r="25" spans="1:11" s="10" customFormat="1" ht="41.4" x14ac:dyDescent="0.3">
      <c r="A25" s="23" t="s">
        <v>40</v>
      </c>
      <c r="B25" s="23" t="s">
        <v>41</v>
      </c>
      <c r="C25" s="24">
        <v>1900505</v>
      </c>
      <c r="D25" s="23" t="s">
        <v>51</v>
      </c>
      <c r="E25" s="25">
        <v>4977</v>
      </c>
      <c r="F25" s="23" t="s">
        <v>119</v>
      </c>
      <c r="G25" s="26" t="s">
        <v>15</v>
      </c>
      <c r="H25" s="5">
        <v>2</v>
      </c>
      <c r="I25" s="5">
        <v>104</v>
      </c>
      <c r="J25" s="5">
        <v>251.25</v>
      </c>
      <c r="K25" s="16">
        <v>4</v>
      </c>
    </row>
    <row r="26" spans="1:11" s="10" customFormat="1" ht="41.4" x14ac:dyDescent="0.3">
      <c r="A26" s="23" t="s">
        <v>40</v>
      </c>
      <c r="B26" s="23" t="s">
        <v>41</v>
      </c>
      <c r="C26" s="24">
        <v>1900505</v>
      </c>
      <c r="D26" s="23" t="s">
        <v>51</v>
      </c>
      <c r="E26" s="25" t="s">
        <v>54</v>
      </c>
      <c r="F26" s="23" t="s">
        <v>112</v>
      </c>
      <c r="G26" s="26" t="s">
        <v>15</v>
      </c>
      <c r="H26" s="5">
        <v>3</v>
      </c>
      <c r="I26" s="5">
        <v>76</v>
      </c>
      <c r="J26" s="5">
        <v>351</v>
      </c>
      <c r="K26" s="16">
        <v>1</v>
      </c>
    </row>
    <row r="27" spans="1:11" s="10" customFormat="1" ht="69" x14ac:dyDescent="0.3">
      <c r="A27" s="23" t="s">
        <v>40</v>
      </c>
      <c r="B27" s="23" t="s">
        <v>41</v>
      </c>
      <c r="C27" s="24">
        <v>1900506</v>
      </c>
      <c r="D27" s="23" t="s">
        <v>56</v>
      </c>
      <c r="E27" s="25">
        <v>3076</v>
      </c>
      <c r="F27" s="23" t="s">
        <v>108</v>
      </c>
      <c r="G27" s="26" t="s">
        <v>15</v>
      </c>
      <c r="H27" s="5">
        <v>0</v>
      </c>
      <c r="I27" s="5">
        <v>218</v>
      </c>
      <c r="J27" s="5">
        <v>407.5</v>
      </c>
      <c r="K27" s="16">
        <v>1</v>
      </c>
    </row>
    <row r="28" spans="1:11" s="10" customFormat="1" ht="69" x14ac:dyDescent="0.3">
      <c r="A28" s="23" t="s">
        <v>40</v>
      </c>
      <c r="B28" s="23" t="s">
        <v>41</v>
      </c>
      <c r="C28" s="24">
        <v>1900506</v>
      </c>
      <c r="D28" s="23" t="s">
        <v>56</v>
      </c>
      <c r="E28" s="25">
        <v>4483</v>
      </c>
      <c r="F28" s="23" t="s">
        <v>107</v>
      </c>
      <c r="G28" s="26" t="s">
        <v>15</v>
      </c>
      <c r="H28" s="5">
        <v>1</v>
      </c>
      <c r="I28" s="5">
        <v>235.25</v>
      </c>
      <c r="J28" s="5">
        <v>359.5</v>
      </c>
      <c r="K28" s="16">
        <v>0</v>
      </c>
    </row>
    <row r="29" spans="1:11" s="10" customFormat="1" ht="69" x14ac:dyDescent="0.3">
      <c r="A29" s="23" t="s">
        <v>40</v>
      </c>
      <c r="B29" s="23" t="s">
        <v>41</v>
      </c>
      <c r="C29" s="24">
        <v>1900506</v>
      </c>
      <c r="D29" s="23" t="s">
        <v>56</v>
      </c>
      <c r="E29" s="25">
        <v>4484</v>
      </c>
      <c r="F29" s="23" t="s">
        <v>113</v>
      </c>
      <c r="G29" s="26" t="s">
        <v>15</v>
      </c>
      <c r="H29" s="5">
        <v>2</v>
      </c>
      <c r="I29" s="5">
        <v>203.75</v>
      </c>
      <c r="J29" s="5">
        <v>332.25</v>
      </c>
      <c r="K29" s="16">
        <v>1</v>
      </c>
    </row>
    <row r="30" spans="1:11" s="10" customFormat="1" ht="41.4" x14ac:dyDescent="0.3">
      <c r="A30" s="23" t="s">
        <v>40</v>
      </c>
      <c r="B30" s="23" t="s">
        <v>41</v>
      </c>
      <c r="C30" s="24">
        <v>1900507</v>
      </c>
      <c r="D30" s="23" t="s">
        <v>63</v>
      </c>
      <c r="E30" s="25">
        <v>4350</v>
      </c>
      <c r="F30" s="23" t="s">
        <v>14</v>
      </c>
      <c r="G30" s="26" t="s">
        <v>15</v>
      </c>
      <c r="H30" s="27"/>
      <c r="I30" s="5">
        <v>105.5</v>
      </c>
      <c r="J30" s="5">
        <v>363.5</v>
      </c>
      <c r="K30" s="16">
        <v>8</v>
      </c>
    </row>
    <row r="31" spans="1:11" s="10" customFormat="1" ht="41.4" x14ac:dyDescent="0.3">
      <c r="A31" s="23" t="s">
        <v>40</v>
      </c>
      <c r="B31" s="23" t="s">
        <v>41</v>
      </c>
      <c r="C31" s="24">
        <v>1900508</v>
      </c>
      <c r="D31" s="23" t="s">
        <v>60</v>
      </c>
      <c r="E31" s="25">
        <v>1860</v>
      </c>
      <c r="F31" s="23" t="s">
        <v>61</v>
      </c>
      <c r="G31" s="26" t="s">
        <v>15</v>
      </c>
      <c r="H31" s="5">
        <v>1</v>
      </c>
      <c r="I31" s="5">
        <v>181.5</v>
      </c>
      <c r="J31" s="5">
        <v>437.75</v>
      </c>
      <c r="K31" s="16">
        <v>6</v>
      </c>
    </row>
    <row r="32" spans="1:11" s="10" customFormat="1" ht="41.4" x14ac:dyDescent="0.3">
      <c r="A32" s="23" t="s">
        <v>40</v>
      </c>
      <c r="B32" s="23" t="s">
        <v>41</v>
      </c>
      <c r="C32" s="24">
        <v>1900508</v>
      </c>
      <c r="D32" s="23" t="s">
        <v>60</v>
      </c>
      <c r="E32" s="25">
        <v>1866</v>
      </c>
      <c r="F32" s="23" t="s">
        <v>111</v>
      </c>
      <c r="G32" s="26" t="s">
        <v>15</v>
      </c>
      <c r="H32" s="27"/>
      <c r="I32" s="5">
        <v>142.5</v>
      </c>
      <c r="J32" s="5">
        <v>429.75</v>
      </c>
      <c r="K32" s="16">
        <v>4</v>
      </c>
    </row>
    <row r="33" spans="1:11" s="10" customFormat="1" ht="69" x14ac:dyDescent="0.3">
      <c r="A33" s="23" t="s">
        <v>40</v>
      </c>
      <c r="B33" s="23" t="s">
        <v>41</v>
      </c>
      <c r="C33" s="24">
        <v>1900510</v>
      </c>
      <c r="D33" s="23" t="s">
        <v>55</v>
      </c>
      <c r="E33" s="25">
        <v>4487</v>
      </c>
      <c r="F33" s="23" t="s">
        <v>114</v>
      </c>
      <c r="G33" s="26" t="s">
        <v>15</v>
      </c>
      <c r="H33" s="5">
        <v>2</v>
      </c>
      <c r="I33" s="5">
        <v>84</v>
      </c>
      <c r="J33" s="5">
        <v>325.5</v>
      </c>
      <c r="K33" s="16">
        <v>7</v>
      </c>
    </row>
    <row r="34" spans="1:11" s="10" customFormat="1" ht="41.4" x14ac:dyDescent="0.3">
      <c r="A34" s="23" t="s">
        <v>40</v>
      </c>
      <c r="B34" s="23" t="s">
        <v>66</v>
      </c>
      <c r="C34" s="24">
        <v>1900517</v>
      </c>
      <c r="D34" s="23" t="s">
        <v>67</v>
      </c>
      <c r="E34" s="25">
        <v>5015</v>
      </c>
      <c r="F34" s="23" t="s">
        <v>109</v>
      </c>
      <c r="G34" s="26" t="s">
        <v>15</v>
      </c>
      <c r="H34" s="27"/>
      <c r="I34" s="5">
        <v>30</v>
      </c>
      <c r="J34" s="5">
        <v>319</v>
      </c>
      <c r="K34" s="16">
        <v>0</v>
      </c>
    </row>
    <row r="35" spans="1:11" s="10" customFormat="1" ht="41.4" x14ac:dyDescent="0.3">
      <c r="A35" s="23" t="s">
        <v>40</v>
      </c>
      <c r="B35" s="23" t="s">
        <v>66</v>
      </c>
      <c r="C35" s="24">
        <v>1900517</v>
      </c>
      <c r="D35" s="23" t="s">
        <v>67</v>
      </c>
      <c r="E35" s="25">
        <v>5016</v>
      </c>
      <c r="F35" s="23" t="s">
        <v>120</v>
      </c>
      <c r="G35" s="26" t="s">
        <v>15</v>
      </c>
      <c r="H35" s="27"/>
      <c r="I35" s="5">
        <v>0</v>
      </c>
      <c r="J35" s="5">
        <v>0</v>
      </c>
      <c r="K35" s="16">
        <v>13</v>
      </c>
    </row>
    <row r="36" spans="1:11" s="10" customFormat="1" ht="27.6" x14ac:dyDescent="0.3">
      <c r="A36" s="23" t="s">
        <v>69</v>
      </c>
      <c r="B36" s="23" t="s">
        <v>70</v>
      </c>
      <c r="C36" s="24">
        <v>1900605</v>
      </c>
      <c r="D36" s="23" t="s">
        <v>71</v>
      </c>
      <c r="E36" s="25">
        <v>4583</v>
      </c>
      <c r="F36" s="23" t="s">
        <v>115</v>
      </c>
      <c r="G36" s="26" t="s">
        <v>15</v>
      </c>
      <c r="H36" s="27"/>
      <c r="I36" s="5">
        <v>30</v>
      </c>
      <c r="J36" s="5">
        <v>245</v>
      </c>
      <c r="K36" s="16">
        <v>1</v>
      </c>
    </row>
    <row r="37" spans="1:11" s="10" customFormat="1" ht="27.6" x14ac:dyDescent="0.3">
      <c r="A37" s="23" t="s">
        <v>69</v>
      </c>
      <c r="B37" s="23" t="s">
        <v>70</v>
      </c>
      <c r="C37" s="24">
        <v>1900605</v>
      </c>
      <c r="D37" s="23" t="s">
        <v>71</v>
      </c>
      <c r="E37" s="25">
        <v>4593</v>
      </c>
      <c r="F37" s="23" t="s">
        <v>116</v>
      </c>
      <c r="G37" s="26" t="s">
        <v>15</v>
      </c>
      <c r="H37" s="27"/>
      <c r="I37" s="5">
        <v>100</v>
      </c>
      <c r="J37" s="5">
        <v>279.5</v>
      </c>
      <c r="K37" s="16">
        <v>2</v>
      </c>
    </row>
    <row r="38" spans="1:11" s="10" customFormat="1" ht="27.6" x14ac:dyDescent="0.3">
      <c r="A38" s="23" t="s">
        <v>73</v>
      </c>
      <c r="B38" s="23" t="s">
        <v>74</v>
      </c>
      <c r="C38" s="24">
        <v>1900701</v>
      </c>
      <c r="D38" s="23" t="s">
        <v>75</v>
      </c>
      <c r="E38" s="25">
        <v>3995</v>
      </c>
      <c r="F38" s="23" t="s">
        <v>77</v>
      </c>
      <c r="G38" s="26" t="s">
        <v>12</v>
      </c>
      <c r="H38" s="27"/>
      <c r="I38" s="5">
        <v>30</v>
      </c>
      <c r="J38" s="5">
        <v>390</v>
      </c>
      <c r="K38" s="16">
        <v>5</v>
      </c>
    </row>
    <row r="39" spans="1:11" s="10" customFormat="1" ht="27.6" x14ac:dyDescent="0.3">
      <c r="A39" s="23" t="s">
        <v>73</v>
      </c>
      <c r="B39" s="23" t="s">
        <v>74</v>
      </c>
      <c r="C39" s="24">
        <v>1900701</v>
      </c>
      <c r="D39" s="23" t="s">
        <v>75</v>
      </c>
      <c r="E39" s="25">
        <v>4981</v>
      </c>
      <c r="F39" s="23" t="s">
        <v>11</v>
      </c>
      <c r="G39" s="26" t="s">
        <v>12</v>
      </c>
      <c r="H39" s="27"/>
      <c r="I39" s="5">
        <v>52</v>
      </c>
      <c r="J39" s="5">
        <v>408.5</v>
      </c>
      <c r="K39" s="16">
        <v>4</v>
      </c>
    </row>
    <row r="40" spans="1:11" s="10" customFormat="1" ht="27.6" x14ac:dyDescent="0.3">
      <c r="A40" s="23" t="s">
        <v>73</v>
      </c>
      <c r="B40" s="23" t="s">
        <v>74</v>
      </c>
      <c r="C40" s="24">
        <v>1900702</v>
      </c>
      <c r="D40" s="23" t="s">
        <v>78</v>
      </c>
      <c r="E40" s="25" t="s">
        <v>79</v>
      </c>
      <c r="F40" s="23" t="s">
        <v>110</v>
      </c>
      <c r="G40" s="26" t="s">
        <v>15</v>
      </c>
      <c r="H40" s="27"/>
      <c r="I40" s="5">
        <v>163</v>
      </c>
      <c r="J40" s="5">
        <v>425</v>
      </c>
      <c r="K40" s="16">
        <v>7</v>
      </c>
    </row>
    <row r="41" spans="1:11" s="10" customFormat="1" ht="27.6" x14ac:dyDescent="0.3">
      <c r="A41" s="23" t="s">
        <v>73</v>
      </c>
      <c r="B41" s="23" t="s">
        <v>74</v>
      </c>
      <c r="C41" s="24">
        <v>1900702</v>
      </c>
      <c r="D41" s="23" t="s">
        <v>78</v>
      </c>
      <c r="E41" s="25" t="s">
        <v>81</v>
      </c>
      <c r="F41" s="23" t="s">
        <v>82</v>
      </c>
      <c r="G41" s="26" t="s">
        <v>15</v>
      </c>
      <c r="H41" s="27"/>
      <c r="I41" s="5">
        <v>30</v>
      </c>
      <c r="J41" s="5">
        <v>376.5</v>
      </c>
      <c r="K41" s="16">
        <v>3</v>
      </c>
    </row>
    <row r="42" spans="1:11" s="10" customFormat="1" ht="18" x14ac:dyDescent="0.3">
      <c r="A42" s="39"/>
      <c r="B42" s="40"/>
      <c r="C42" s="40"/>
      <c r="D42" s="40"/>
      <c r="E42" s="40"/>
      <c r="F42" s="40"/>
      <c r="G42" s="40"/>
      <c r="H42" s="28">
        <f t="shared" ref="H42:K42" si="0">SUM(H5:H41)</f>
        <v>25</v>
      </c>
      <c r="I42" s="28"/>
      <c r="J42" s="28"/>
      <c r="K42" s="28">
        <f t="shared" si="0"/>
        <v>144</v>
      </c>
    </row>
  </sheetData>
  <sortState ref="A5:W41">
    <sortCondition ref="C5:C41"/>
    <sortCondition ref="E5:E41"/>
  </sortState>
  <mergeCells count="11">
    <mergeCell ref="A1:G1"/>
    <mergeCell ref="H3:J3"/>
    <mergeCell ref="A42:G42"/>
    <mergeCell ref="K3:K4"/>
    <mergeCell ref="G3:G4"/>
    <mergeCell ref="A3:A4"/>
    <mergeCell ref="B3:B4"/>
    <mergeCell ref="C3:C4"/>
    <mergeCell ref="D3:D4"/>
    <mergeCell ref="E3:E4"/>
    <mergeCell ref="F3:F4"/>
  </mergeCells>
  <pageMargins left="0" right="0" top="0.59055118110236227" bottom="0.39370078740157483" header="0.31496062992125984" footer="0.31496062992125984"/>
  <pageSetup paperSize="8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2023-2024</vt:lpstr>
      <vt:lpstr>2024-2025</vt:lpstr>
      <vt:lpstr>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RUO-Ss-IO</dc:creator>
  <cp:lastModifiedBy>AAStefanova</cp:lastModifiedBy>
  <cp:lastPrinted>2023-07-17T13:40:18Z</cp:lastPrinted>
  <dcterms:created xsi:type="dcterms:W3CDTF">2023-07-03T11:06:42Z</dcterms:created>
  <dcterms:modified xsi:type="dcterms:W3CDTF">2026-07-05T10:01:53Z</dcterms:modified>
</cp:coreProperties>
</file>